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ocial Skills" sheetId="2" state="visible" r:id="rId2"/>
    <sheet xmlns:r="http://schemas.openxmlformats.org/officeDocument/2006/relationships" name="Speech" sheetId="3" state="visible" r:id="rId3"/>
    <sheet xmlns:r="http://schemas.openxmlformats.org/officeDocument/2006/relationships" name="OT" sheetId="4" state="visible" r:id="rId4"/>
    <sheet xmlns:r="http://schemas.openxmlformats.org/officeDocument/2006/relationships" name="Counseling" sheetId="5" state="visible" r:id="rId5"/>
    <sheet xmlns:r="http://schemas.openxmlformats.org/officeDocument/2006/relationships" name="Inclusion Support" sheetId="6" state="visible" r:id="rId6"/>
    <sheet xmlns:r="http://schemas.openxmlformats.org/officeDocument/2006/relationships" name="Session Notes" sheetId="7" state="visible" r:id="rId7"/>
    <sheet xmlns:r="http://schemas.openxmlformats.org/officeDocument/2006/relationships" name="Year Summary" sheetId="8" state="visible" r:id="rId8"/>
    <sheet xmlns:r="http://schemas.openxmlformats.org/officeDocument/2006/relationships" name="ARD Report" sheetId="9" state="visible" r:id="rId9"/>
  </sheets>
  <definedNames>
    <definedName name="StudentNames">'Social Skills'!$A$5:$A$19</definedName>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2">
    <font>
      <name val="Calibri"/>
      <family val="2"/>
      <color theme="1"/>
      <sz val="11"/>
      <scheme val="minor"/>
    </font>
    <font>
      <name val="Arial"/>
      <b val="1"/>
      <color rgb="00FFFFFF"/>
      <sz val="18"/>
    </font>
    <font>
      <name val="Arial"/>
      <i val="1"/>
      <color rgb="00666666"/>
      <sz val="11"/>
    </font>
    <font>
      <name val="Arial"/>
      <b val="1"/>
      <color rgb="00FFFFFF"/>
      <sz val="11"/>
    </font>
    <font>
      <name val="Arial"/>
      <b val="1"/>
      <sz val="12"/>
    </font>
    <font>
      <name val="Arial"/>
      <sz val="10"/>
    </font>
    <font>
      <name val="Arial"/>
      <b val="1"/>
      <sz val="11"/>
    </font>
    <font>
      <name val="Arial"/>
      <b val="1"/>
      <sz val="10"/>
    </font>
    <font>
      <name val="Arial"/>
      <b val="1"/>
      <sz val="17"/>
    </font>
    <font>
      <name val="Arial"/>
      <b val="1"/>
      <color rgb="00FFFFFF"/>
      <sz val="14"/>
    </font>
    <font>
      <name val="Arial"/>
      <b val="1"/>
      <color rgb="00FFFFFF"/>
      <sz val="17"/>
    </font>
    <font>
      <name val="Arial"/>
      <b val="1"/>
      <color rgb="00FFFFFF"/>
      <sz val="13"/>
    </font>
  </fonts>
  <fills count="15">
    <fill>
      <patternFill/>
    </fill>
    <fill>
      <patternFill patternType="gray125"/>
    </fill>
    <fill>
      <patternFill patternType="solid">
        <fgColor rgb="001F3864"/>
      </patternFill>
    </fill>
    <fill>
      <patternFill patternType="solid">
        <fgColor rgb="004472C4"/>
      </patternFill>
    </fill>
    <fill>
      <patternFill patternType="solid">
        <fgColor rgb="006AA84F"/>
      </patternFill>
    </fill>
    <fill>
      <patternFill patternType="solid">
        <fgColor rgb="00E69138"/>
      </patternFill>
    </fill>
    <fill>
      <patternFill patternType="solid">
        <fgColor rgb="008E7CC3"/>
      </patternFill>
    </fill>
    <fill>
      <patternFill patternType="solid">
        <fgColor rgb="00C27BA0"/>
      </patternFill>
    </fill>
    <fill>
      <patternFill patternType="solid">
        <fgColor rgb="00333333"/>
      </patternFill>
    </fill>
    <fill>
      <patternFill patternType="solid">
        <fgColor rgb="00B7B7B7"/>
      </patternFill>
    </fill>
    <fill>
      <patternFill patternType="solid">
        <fgColor rgb="0057BB8A"/>
      </patternFill>
    </fill>
    <fill>
      <patternFill patternType="solid">
        <fgColor rgb="00D9E2F3"/>
      </patternFill>
    </fill>
    <fill>
      <patternFill patternType="solid">
        <fgColor rgb="00D6E4F0"/>
      </patternFill>
    </fill>
    <fill>
      <patternFill patternType="solid">
        <fgColor rgb="008B0000"/>
      </patternFill>
    </fill>
    <fill>
      <patternFill patternType="solid">
        <fgColor rgb="00D9D9D9"/>
      </patternFill>
    </fill>
  </fills>
  <borders count="3">
    <border>
      <left/>
      <right/>
      <top/>
      <bottom/>
      <diagonal/>
    </border>
    <border>
      <left style="thin"/>
      <right style="thin"/>
      <top style="thin"/>
      <bottom style="thin"/>
    </border>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9"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6" fillId="0"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5" fillId="0" borderId="1" applyAlignment="1" pivotButton="0" quotePrefix="0" xfId="0">
      <alignment horizontal="left" vertical="center" wrapText="1"/>
    </xf>
    <xf numFmtId="1" fontId="5" fillId="0" borderId="1" applyAlignment="1" pivotButton="0" quotePrefix="0" xfId="0">
      <alignment horizontal="center" vertical="center" wrapText="1"/>
    </xf>
    <xf numFmtId="1" fontId="7" fillId="0" borderId="1" applyAlignment="1" pivotButton="0" quotePrefix="0" xfId="0">
      <alignment horizontal="center" vertical="center" wrapText="1"/>
    </xf>
    <xf numFmtId="9" fontId="7"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3" fillId="3" borderId="1" applyAlignment="1" pivotButton="0" quotePrefix="0" xfId="0">
      <alignment horizontal="center" vertical="center" wrapText="1"/>
    </xf>
    <xf numFmtId="165" fontId="5" fillId="12"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2" borderId="1" applyAlignment="1" pivotButton="0" quotePrefix="0" xfId="0">
      <alignment horizontal="left" vertical="center" wrapText="1"/>
    </xf>
    <xf numFmtId="165" fontId="5"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9"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0" borderId="1" applyAlignment="1" pivotButton="0" quotePrefix="0" xfId="0">
      <alignment horizontal="left" vertical="center" wrapText="1"/>
    </xf>
  </cellXfs>
  <cellStyles count="1">
    <cellStyle name="Normal" xfId="0" builtinId="0" hidden="0"/>
  </cellStyles>
  <dxfs count="3">
    <dxf>
      <fill>
        <patternFill patternType="solid">
          <fgColor rgb="00B7E1CD"/>
        </patternFill>
      </fill>
    </dxf>
    <dxf>
      <fill>
        <patternFill patternType="solid">
          <fgColor rgb="00FFD966"/>
        </patternFill>
      </fill>
    </dxf>
    <dxf>
      <fill>
        <patternFill patternType="solid">
          <fgColor rgb="00EA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G11"/>
  <sheetViews>
    <sheetView workbookViewId="0">
      <selection activeCell="A1" sqref="A1"/>
    </sheetView>
  </sheetViews>
  <sheetFormatPr baseColWidth="8" defaultRowHeight="15"/>
  <cols>
    <col width="22" customWidth="1" min="1" max="1"/>
    <col width="16" customWidth="1" min="2" max="2"/>
    <col width="18" customWidth="1" min="3" max="3"/>
    <col width="18" customWidth="1" min="4" max="4"/>
    <col width="18" customWidth="1" min="5" max="5"/>
    <col width="14" customWidth="1" min="6" max="6"/>
    <col width="14" customWidth="1" min="7" max="7"/>
  </cols>
  <sheetData>
    <row r="1">
      <c r="A1" s="1" t="inlineStr">
        <is>
          <t>SPED Service Compliance Dashboard</t>
        </is>
      </c>
    </row>
    <row r="2">
      <c r="A2" s="2" t="inlineStr">
        <is>
          <t>Auto-calculated from Year Summary data</t>
        </is>
      </c>
    </row>
    <row r="4">
      <c r="A4" s="3" t="inlineStr">
        <is>
          <t>Service Type</t>
        </is>
      </c>
      <c r="B4" s="3" t="inlineStr">
        <is>
          <t>Total Students</t>
        </is>
      </c>
      <c r="C4" s="3" t="inlineStr">
        <is>
          <t>On Track (≥80%)</t>
        </is>
      </c>
      <c r="D4" s="3" t="inlineStr">
        <is>
          <t>Behind (50-79%)</t>
        </is>
      </c>
      <c r="E4" s="3" t="inlineStr">
        <is>
          <t>At Risk (&lt;50%)</t>
        </is>
      </c>
      <c r="F4" s="3" t="inlineStr">
        <is>
          <t>Overall %</t>
        </is>
      </c>
      <c r="G4" s="3" t="inlineStr">
        <is>
          <t>Status</t>
        </is>
      </c>
    </row>
    <row r="5">
      <c r="A5" s="4" t="inlineStr">
        <is>
          <t>Social Skills</t>
        </is>
      </c>
      <c r="B5" s="5">
        <f>COUNTA('Year Summary'!L5:L19)</f>
        <v/>
      </c>
      <c r="C5" s="6">
        <f>COUNTIF('Year Summary'!L5:L19,"&gt;="&amp;0.8)</f>
        <v/>
      </c>
      <c r="D5" s="6">
        <f>COUNTIFS('Year Summary'!L5:L19,"&gt;="&amp;0.5,'Year Summary'!L5:L19,"&lt;"&amp;0.8)</f>
        <v/>
      </c>
      <c r="E5" s="6">
        <f>COUNTIF('Year Summary'!L5:L19,"&lt;"&amp;0.5)</f>
        <v/>
      </c>
      <c r="F5" s="7">
        <f>IF(COUNTA('Year Summary'!L5:L19)=0,"",AVERAGE('Year Summary'!L5:L19))</f>
        <v/>
      </c>
      <c r="G5" s="8">
        <f>IF(F5="","",IF(F5&gt;=0.8,"On Track",IF(F5&gt;=0.5,"Behind","At Risk")))</f>
        <v/>
      </c>
    </row>
    <row r="6">
      <c r="A6" s="9" t="inlineStr">
        <is>
          <t>Speech</t>
        </is>
      </c>
      <c r="B6" s="5">
        <f>COUNTA('Year Summary'!L23:L37)</f>
        <v/>
      </c>
      <c r="C6" s="6">
        <f>COUNTIF('Year Summary'!L23:L37,"&gt;="&amp;0.8)</f>
        <v/>
      </c>
      <c r="D6" s="6">
        <f>COUNTIFS('Year Summary'!L23:L37,"&gt;="&amp;0.5,'Year Summary'!L23:L37,"&lt;"&amp;0.8)</f>
        <v/>
      </c>
      <c r="E6" s="6">
        <f>COUNTIF('Year Summary'!L23:L37,"&lt;"&amp;0.5)</f>
        <v/>
      </c>
      <c r="F6" s="7">
        <f>IF(COUNTA('Year Summary'!L23:L37)=0,"",AVERAGE('Year Summary'!L23:L37))</f>
        <v/>
      </c>
      <c r="G6" s="8">
        <f>IF(F6="","",IF(F6&gt;=0.8,"On Track",IF(F6&gt;=0.5,"Behind","At Risk")))</f>
        <v/>
      </c>
    </row>
    <row r="7">
      <c r="A7" s="10" t="inlineStr">
        <is>
          <t>OT</t>
        </is>
      </c>
      <c r="B7" s="5">
        <f>COUNTA('Year Summary'!L41:L55)</f>
        <v/>
      </c>
      <c r="C7" s="6">
        <f>COUNTIF('Year Summary'!L41:L55,"&gt;="&amp;0.8)</f>
        <v/>
      </c>
      <c r="D7" s="6">
        <f>COUNTIFS('Year Summary'!L41:L55,"&gt;="&amp;0.5,'Year Summary'!L41:L55,"&lt;"&amp;0.8)</f>
        <v/>
      </c>
      <c r="E7" s="6">
        <f>COUNTIF('Year Summary'!L41:L55,"&lt;"&amp;0.5)</f>
        <v/>
      </c>
      <c r="F7" s="7">
        <f>IF(COUNTA('Year Summary'!L41:L55)=0,"",AVERAGE('Year Summary'!L41:L55))</f>
        <v/>
      </c>
      <c r="G7" s="8">
        <f>IF(F7="","",IF(F7&gt;=0.8,"On Track",IF(F7&gt;=0.5,"Behind","At Risk")))</f>
        <v/>
      </c>
    </row>
    <row r="8">
      <c r="A8" s="11" t="inlineStr">
        <is>
          <t>Counseling</t>
        </is>
      </c>
      <c r="B8" s="5">
        <f>COUNTA('Year Summary'!L59:L73)</f>
        <v/>
      </c>
      <c r="C8" s="6">
        <f>COUNTIF('Year Summary'!L59:L73,"&gt;="&amp;0.8)</f>
        <v/>
      </c>
      <c r="D8" s="6">
        <f>COUNTIFS('Year Summary'!L59:L73,"&gt;="&amp;0.5,'Year Summary'!L59:L73,"&lt;"&amp;0.8)</f>
        <v/>
      </c>
      <c r="E8" s="6">
        <f>COUNTIF('Year Summary'!L59:L73,"&lt;"&amp;0.5)</f>
        <v/>
      </c>
      <c r="F8" s="7">
        <f>IF(COUNTA('Year Summary'!L59:L73)=0,"",AVERAGE('Year Summary'!L59:L73))</f>
        <v/>
      </c>
      <c r="G8" s="8">
        <f>IF(F8="","",IF(F8&gt;=0.8,"On Track",IF(F8&gt;=0.5,"Behind","At Risk")))</f>
        <v/>
      </c>
    </row>
    <row r="9">
      <c r="A9" s="12" t="inlineStr">
        <is>
          <t>Inclusion Support</t>
        </is>
      </c>
      <c r="B9" s="5">
        <f>COUNTA('Year Summary'!L77:L91)</f>
        <v/>
      </c>
      <c r="C9" s="6">
        <f>COUNTIF('Year Summary'!L77:L91,"&gt;="&amp;0.8)</f>
        <v/>
      </c>
      <c r="D9" s="6">
        <f>COUNTIFS('Year Summary'!L77:L91,"&gt;="&amp;0.5,'Year Summary'!L77:L91,"&lt;"&amp;0.8)</f>
        <v/>
      </c>
      <c r="E9" s="6">
        <f>COUNTIF('Year Summary'!L77:L91,"&lt;"&amp;0.5)</f>
        <v/>
      </c>
      <c r="F9" s="7">
        <f>IF(COUNTA('Year Summary'!L77:L91)=0,"",AVERAGE('Year Summary'!L77:L91))</f>
        <v/>
      </c>
      <c r="G9" s="8">
        <f>IF(F9="","",IF(F9&gt;=0.8,"On Track",IF(F9&gt;=0.5,"Behind","At Risk")))</f>
        <v/>
      </c>
    </row>
    <row r="11">
      <c r="A11" s="13" t="inlineStr">
        <is>
          <t>ALL SERVICES</t>
        </is>
      </c>
      <c r="B11" s="14">
        <f>SUM(B5:B9)</f>
        <v/>
      </c>
      <c r="C11" s="14">
        <f>SUM(C5:C9)</f>
        <v/>
      </c>
      <c r="D11" s="14">
        <f>SUM(D5:D9)</f>
        <v/>
      </c>
      <c r="E11" s="14">
        <f>SUM(E5:E9)</f>
        <v/>
      </c>
      <c r="F11" s="7">
        <f>IF(COUNT(F5:F9)=0,"",AVERAGE(F5:F9))</f>
        <v/>
      </c>
    </row>
  </sheetData>
  <mergeCells count="2">
    <mergeCell ref="A2:G2"/>
    <mergeCell ref="A1:G1"/>
  </mergeCells>
  <conditionalFormatting sqref="C5">
    <cfRule type="cellIs" priority="1" operator="greaterThan" dxfId="0">
      <formula>0</formula>
    </cfRule>
  </conditionalFormatting>
  <conditionalFormatting sqref="D5">
    <cfRule type="cellIs" priority="2" operator="greaterThan" dxfId="1">
      <formula>0</formula>
    </cfRule>
  </conditionalFormatting>
  <conditionalFormatting sqref="E5">
    <cfRule type="cellIs" priority="3" operator="greaterThan" dxfId="2">
      <formula>0</formula>
    </cfRule>
  </conditionalFormatting>
  <conditionalFormatting sqref="F5">
    <cfRule type="cellIs" priority="4" operator="greaterThanOrEqual" dxfId="0">
      <formula>0.8</formula>
    </cfRule>
    <cfRule type="cellIs" priority="5" operator="between" dxfId="1">
      <formula>0.5</formula>
      <formula>0.7999</formula>
    </cfRule>
    <cfRule type="cellIs" priority="6" operator="lessThan" dxfId="2">
      <formula>0.5</formula>
    </cfRule>
  </conditionalFormatting>
  <conditionalFormatting sqref="G5">
    <cfRule type="expression" priority="7" dxfId="0">
      <formula>G5="On Track"</formula>
    </cfRule>
    <cfRule type="expression" priority="8" dxfId="1">
      <formula>G5="Behind"</formula>
    </cfRule>
    <cfRule type="expression" priority="9" dxfId="2">
      <formula>G5="At Risk"</formula>
    </cfRule>
  </conditionalFormatting>
  <conditionalFormatting sqref="C6">
    <cfRule type="cellIs" priority="10" operator="greaterThan" dxfId="0">
      <formula>0</formula>
    </cfRule>
  </conditionalFormatting>
  <conditionalFormatting sqref="D6">
    <cfRule type="cellIs" priority="11" operator="greaterThan" dxfId="1">
      <formula>0</formula>
    </cfRule>
  </conditionalFormatting>
  <conditionalFormatting sqref="E6">
    <cfRule type="cellIs" priority="12" operator="greaterThan" dxfId="2">
      <formula>0</formula>
    </cfRule>
  </conditionalFormatting>
  <conditionalFormatting sqref="F6">
    <cfRule type="cellIs" priority="13" operator="greaterThanOrEqual" dxfId="0">
      <formula>0.8</formula>
    </cfRule>
    <cfRule type="cellIs" priority="14" operator="between" dxfId="1">
      <formula>0.5</formula>
      <formula>0.7999</formula>
    </cfRule>
    <cfRule type="cellIs" priority="15" operator="lessThan" dxfId="2">
      <formula>0.5</formula>
    </cfRule>
  </conditionalFormatting>
  <conditionalFormatting sqref="G6">
    <cfRule type="expression" priority="16" dxfId="0">
      <formula>G6="On Track"</formula>
    </cfRule>
    <cfRule type="expression" priority="17" dxfId="1">
      <formula>G6="Behind"</formula>
    </cfRule>
    <cfRule type="expression" priority="18" dxfId="2">
      <formula>G6="At Risk"</formula>
    </cfRule>
  </conditionalFormatting>
  <conditionalFormatting sqref="C7">
    <cfRule type="cellIs" priority="19" operator="greaterThan" dxfId="0">
      <formula>0</formula>
    </cfRule>
  </conditionalFormatting>
  <conditionalFormatting sqref="D7">
    <cfRule type="cellIs" priority="20" operator="greaterThan" dxfId="1">
      <formula>0</formula>
    </cfRule>
  </conditionalFormatting>
  <conditionalFormatting sqref="E7">
    <cfRule type="cellIs" priority="21" operator="greaterThan" dxfId="2">
      <formula>0</formula>
    </cfRule>
  </conditionalFormatting>
  <conditionalFormatting sqref="F7">
    <cfRule type="cellIs" priority="22" operator="greaterThanOrEqual" dxfId="0">
      <formula>0.8</formula>
    </cfRule>
    <cfRule type="cellIs" priority="23" operator="between" dxfId="1">
      <formula>0.5</formula>
      <formula>0.7999</formula>
    </cfRule>
    <cfRule type="cellIs" priority="24" operator="lessThan" dxfId="2">
      <formula>0.5</formula>
    </cfRule>
  </conditionalFormatting>
  <conditionalFormatting sqref="G7">
    <cfRule type="expression" priority="25" dxfId="0">
      <formula>G7="On Track"</formula>
    </cfRule>
    <cfRule type="expression" priority="26" dxfId="1">
      <formula>G7="Behind"</formula>
    </cfRule>
    <cfRule type="expression" priority="27" dxfId="2">
      <formula>G7="At Risk"</formula>
    </cfRule>
  </conditionalFormatting>
  <conditionalFormatting sqref="C8">
    <cfRule type="cellIs" priority="28" operator="greaterThan" dxfId="0">
      <formula>0</formula>
    </cfRule>
  </conditionalFormatting>
  <conditionalFormatting sqref="D8">
    <cfRule type="cellIs" priority="29" operator="greaterThan" dxfId="1">
      <formula>0</formula>
    </cfRule>
  </conditionalFormatting>
  <conditionalFormatting sqref="E8">
    <cfRule type="cellIs" priority="30" operator="greaterThan" dxfId="2">
      <formula>0</formula>
    </cfRule>
  </conditionalFormatting>
  <conditionalFormatting sqref="F8">
    <cfRule type="cellIs" priority="31" operator="greaterThanOrEqual" dxfId="0">
      <formula>0.8</formula>
    </cfRule>
    <cfRule type="cellIs" priority="32" operator="between" dxfId="1">
      <formula>0.5</formula>
      <formula>0.7999</formula>
    </cfRule>
    <cfRule type="cellIs" priority="33" operator="lessThan" dxfId="2">
      <formula>0.5</formula>
    </cfRule>
  </conditionalFormatting>
  <conditionalFormatting sqref="G8">
    <cfRule type="expression" priority="34" dxfId="0">
      <formula>G8="On Track"</formula>
    </cfRule>
    <cfRule type="expression" priority="35" dxfId="1">
      <formula>G8="Behind"</formula>
    </cfRule>
    <cfRule type="expression" priority="36" dxfId="2">
      <formula>G8="At Risk"</formula>
    </cfRule>
  </conditionalFormatting>
  <conditionalFormatting sqref="C9">
    <cfRule type="cellIs" priority="37" operator="greaterThan" dxfId="0">
      <formula>0</formula>
    </cfRule>
  </conditionalFormatting>
  <conditionalFormatting sqref="D9">
    <cfRule type="cellIs" priority="38" operator="greaterThan" dxfId="1">
      <formula>0</formula>
    </cfRule>
  </conditionalFormatting>
  <conditionalFormatting sqref="E9">
    <cfRule type="cellIs" priority="39" operator="greaterThan" dxfId="2">
      <formula>0</formula>
    </cfRule>
  </conditionalFormatting>
  <conditionalFormatting sqref="F9">
    <cfRule type="cellIs" priority="40" operator="greaterThanOrEqual" dxfId="0">
      <formula>0.8</formula>
    </cfRule>
    <cfRule type="cellIs" priority="41" operator="between" dxfId="1">
      <formula>0.5</formula>
      <formula>0.7999</formula>
    </cfRule>
    <cfRule type="cellIs" priority="42" operator="lessThan" dxfId="2">
      <formula>0.5</formula>
    </cfRule>
  </conditionalFormatting>
  <conditionalFormatting sqref="G9">
    <cfRule type="expression" priority="43" dxfId="0">
      <formula>G9="On Track"</formula>
    </cfRule>
    <cfRule type="expression" priority="44" dxfId="1">
      <formula>G9="Behind"</formula>
    </cfRule>
    <cfRule type="expression" priority="45" dxfId="2">
      <formula>G9="At Risk"</formula>
    </cfRule>
  </conditionalFormatting>
  <pageMargins left="0.75" right="0.75" top="1" bottom="1" header="0.5" footer="0.5"/>
  <pageSetup orientation="landscape" fitToHeight="1" fitToWidth="1"/>
</worksheet>
</file>

<file path=xl/worksheets/sheet2.xml><?xml version="1.0" encoding="utf-8"?>
<worksheet xmlns="http://schemas.openxmlformats.org/spreadsheetml/2006/main">
  <sheetPr>
    <tabColor rgb="004472C4"/>
    <outlinePr summaryBelow="1" summaryRight="1"/>
    <pageSetUpPr fitToPage="1"/>
  </sheetPr>
  <dimension ref="A1:AC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c r="A1" s="15" t="inlineStr">
        <is>
          <t>Social Skills — SPED Minute Tracker</t>
        </is>
      </c>
    </row>
    <row r="3">
      <c r="A3" s="16" t="inlineStr">
        <is>
          <t>Q1 — Quarter 1</t>
        </is>
      </c>
    </row>
    <row r="4">
      <c r="A4" s="17" t="inlineStr">
        <is>
          <t>Student Name</t>
        </is>
      </c>
      <c r="B4" s="17" t="inlineStr">
        <is>
          <t>Sess 1</t>
        </is>
      </c>
      <c r="C4" s="17" t="inlineStr">
        <is>
          <t>Att 1</t>
        </is>
      </c>
      <c r="D4" s="17" t="inlineStr">
        <is>
          <t>Sess 2</t>
        </is>
      </c>
      <c r="E4" s="17" t="inlineStr">
        <is>
          <t>Att 2</t>
        </is>
      </c>
      <c r="F4" s="17" t="inlineStr">
        <is>
          <t>Sess 3</t>
        </is>
      </c>
      <c r="G4" s="17" t="inlineStr">
        <is>
          <t>Att 3</t>
        </is>
      </c>
      <c r="H4" s="17" t="inlineStr">
        <is>
          <t>Sess 4</t>
        </is>
      </c>
      <c r="I4" s="17" t="inlineStr">
        <is>
          <t>Att 4</t>
        </is>
      </c>
      <c r="J4" s="17" t="inlineStr">
        <is>
          <t>Sess 5</t>
        </is>
      </c>
      <c r="K4" s="17" t="inlineStr">
        <is>
          <t>Att 5</t>
        </is>
      </c>
      <c r="L4" s="17" t="inlineStr">
        <is>
          <t>Sess 6</t>
        </is>
      </c>
      <c r="M4" s="17" t="inlineStr">
        <is>
          <t>Att 6</t>
        </is>
      </c>
      <c r="N4" s="17" t="inlineStr">
        <is>
          <t>Sess 7</t>
        </is>
      </c>
      <c r="O4" s="17" t="inlineStr">
        <is>
          <t>Att 7</t>
        </is>
      </c>
      <c r="P4" s="17" t="inlineStr">
        <is>
          <t>Sess 8</t>
        </is>
      </c>
      <c r="Q4" s="17" t="inlineStr">
        <is>
          <t>Att 8</t>
        </is>
      </c>
      <c r="R4" s="17" t="inlineStr">
        <is>
          <t>Sess 9</t>
        </is>
      </c>
      <c r="S4" s="17" t="inlineStr">
        <is>
          <t>Att 9</t>
        </is>
      </c>
      <c r="T4" s="17" t="inlineStr">
        <is>
          <t>Sess 10</t>
        </is>
      </c>
      <c r="U4" s="17" t="inlineStr">
        <is>
          <t>Att 10</t>
        </is>
      </c>
      <c r="V4" s="17" t="inlineStr">
        <is>
          <t>Min Met</t>
        </is>
      </c>
      <c r="W4" s="17" t="inlineStr">
        <is>
          <t>Sess Att</t>
        </is>
      </c>
      <c r="X4" s="17" t="inlineStr">
        <is>
          <t>Absences</t>
        </is>
      </c>
      <c r="Y4" s="17" t="inlineStr">
        <is>
          <t>IEP Req</t>
        </is>
      </c>
      <c r="Z4" s="17" t="inlineStr">
        <is>
          <t>Min Remain</t>
        </is>
      </c>
      <c r="AA4" s="17" t="inlineStr">
        <is>
          <t>% Complete</t>
        </is>
      </c>
      <c r="AB4" s="17" t="inlineStr">
        <is>
          <t>Pace Needed</t>
        </is>
      </c>
      <c r="AC4" s="17" t="inlineStr">
        <is>
          <t>Projected</t>
        </is>
      </c>
    </row>
    <row r="5">
      <c r="A5" s="18" t="inlineStr">
        <is>
          <t>Raya Hightower</t>
        </is>
      </c>
      <c r="B5" s="19" t="n"/>
      <c r="C5" s="6" t="n"/>
      <c r="D5" s="19" t="n"/>
      <c r="E5" s="6" t="n"/>
      <c r="F5" s="19" t="n"/>
      <c r="G5" s="6" t="n"/>
      <c r="H5" s="19" t="n"/>
      <c r="I5" s="6" t="n"/>
      <c r="J5" s="19" t="n"/>
      <c r="K5" s="6" t="n"/>
      <c r="L5" s="19" t="n"/>
      <c r="M5" s="6" t="n"/>
      <c r="N5" s="19" t="n"/>
      <c r="O5" s="6" t="n"/>
      <c r="P5" s="19" t="n"/>
      <c r="Q5" s="6" t="n"/>
      <c r="R5" s="19" t="n"/>
      <c r="S5" s="6" t="n"/>
      <c r="T5" s="19" t="n"/>
      <c r="U5" s="6" t="n"/>
      <c r="V5" s="20">
        <f>SUM(B5,D5,F5,H5,J5,L5,N5,P5,R5,T5)</f>
        <v/>
      </c>
      <c r="W5" s="19">
        <f>COUNTIF(C5,"P")+COUNTIF(E5,"P")+COUNTIF(G5,"P")+COUNTIF(I5,"P")+COUNTIF(K5,"P")+COUNTIF(M5,"P")+COUNTIF(O5,"P")+COUNTIF(Q5,"P")+COUNTIF(S5,"P")+COUNTIF(U5,"P")</f>
        <v/>
      </c>
      <c r="X5" s="19">
        <f>COUNTIF(C5,"A")+COUNTIF(E5,"A")+COUNTIF(G5,"A")+COUNTIF(I5,"A")+COUNTIF(K5,"A")+COUNTIF(M5,"A")+COUNTIF(O5,"A")+COUNTIF(Q5,"A")+COUNTIF(S5,"A")+COUNTIF(U5,"A")</f>
        <v/>
      </c>
      <c r="Y5" s="19" t="n"/>
      <c r="Z5" s="19">
        <f>IF(Y5="","",Y5-V5)</f>
        <v/>
      </c>
      <c r="AA5" s="21">
        <f>IF(OR(Y5="",Y5=0),"",V5/Y5)</f>
        <v/>
      </c>
      <c r="AB5" s="22">
        <f>IF(OR(Y5="",Y5=0),"",IF((10-W5-X5)&lt;=0,"N/A",Z5/(10-W5-X5)))</f>
        <v/>
      </c>
      <c r="AC5" s="19">
        <f>IF(W5=0,"",ROUND((V5/W5)*10,0))</f>
        <v/>
      </c>
    </row>
    <row r="6">
      <c r="A6" s="18" t="inlineStr">
        <is>
          <t>Anu Vijay Anand</t>
        </is>
      </c>
      <c r="B6" s="19" t="n"/>
      <c r="C6" s="6" t="n"/>
      <c r="D6" s="19" t="n"/>
      <c r="E6" s="6" t="n"/>
      <c r="F6" s="19" t="n"/>
      <c r="G6" s="6" t="n"/>
      <c r="H6" s="19" t="n"/>
      <c r="I6" s="6" t="n"/>
      <c r="J6" s="19" t="n"/>
      <c r="K6" s="6" t="n"/>
      <c r="L6" s="19" t="n"/>
      <c r="M6" s="6" t="n"/>
      <c r="N6" s="19" t="n"/>
      <c r="O6" s="6" t="n"/>
      <c r="P6" s="19" t="n"/>
      <c r="Q6" s="6" t="n"/>
      <c r="R6" s="19" t="n"/>
      <c r="S6" s="6" t="n"/>
      <c r="T6" s="19" t="n"/>
      <c r="U6" s="6" t="n"/>
      <c r="V6" s="20">
        <f>SUM(B6,D6,F6,H6,J6,L6,N6,P6,R6,T6)</f>
        <v/>
      </c>
      <c r="W6" s="19">
        <f>COUNTIF(C6,"P")+COUNTIF(E6,"P")+COUNTIF(G6,"P")+COUNTIF(I6,"P")+COUNTIF(K6,"P")+COUNTIF(M6,"P")+COUNTIF(O6,"P")+COUNTIF(Q6,"P")+COUNTIF(S6,"P")+COUNTIF(U6,"P")</f>
        <v/>
      </c>
      <c r="X6" s="19">
        <f>COUNTIF(C6,"A")+COUNTIF(E6,"A")+COUNTIF(G6,"A")+COUNTIF(I6,"A")+COUNTIF(K6,"A")+COUNTIF(M6,"A")+COUNTIF(O6,"A")+COUNTIF(Q6,"A")+COUNTIF(S6,"A")+COUNTIF(U6,"A")</f>
        <v/>
      </c>
      <c r="Y6" s="19" t="n"/>
      <c r="Z6" s="19">
        <f>IF(Y6="","",Y6-V6)</f>
        <v/>
      </c>
      <c r="AA6" s="21">
        <f>IF(OR(Y6="",Y6=0),"",V6/Y6)</f>
        <v/>
      </c>
      <c r="AB6" s="22">
        <f>IF(OR(Y6="",Y6=0),"",IF((10-W6-X6)&lt;=0,"N/A",Z6/(10-W6-X6)))</f>
        <v/>
      </c>
      <c r="AC6" s="19">
        <f>IF(W6=0,"",ROUND((V6/W6)*10,0))</f>
        <v/>
      </c>
    </row>
    <row r="7">
      <c r="A7" s="18" t="inlineStr">
        <is>
          <t>Aadhya Gone</t>
        </is>
      </c>
      <c r="B7" s="19" t="n"/>
      <c r="C7" s="6" t="n"/>
      <c r="D7" s="19" t="n"/>
      <c r="E7" s="6" t="n"/>
      <c r="F7" s="19" t="n"/>
      <c r="G7" s="6" t="n"/>
      <c r="H7" s="19" t="n"/>
      <c r="I7" s="6" t="n"/>
      <c r="J7" s="19" t="n"/>
      <c r="K7" s="6" t="n"/>
      <c r="L7" s="19" t="n"/>
      <c r="M7" s="6" t="n"/>
      <c r="N7" s="19" t="n"/>
      <c r="O7" s="6" t="n"/>
      <c r="P7" s="19" t="n"/>
      <c r="Q7" s="6" t="n"/>
      <c r="R7" s="19" t="n"/>
      <c r="S7" s="6" t="n"/>
      <c r="T7" s="19" t="n"/>
      <c r="U7" s="6" t="n"/>
      <c r="V7" s="20">
        <f>SUM(B7,D7,F7,H7,J7,L7,N7,P7,R7,T7)</f>
        <v/>
      </c>
      <c r="W7" s="19">
        <f>COUNTIF(C7,"P")+COUNTIF(E7,"P")+COUNTIF(G7,"P")+COUNTIF(I7,"P")+COUNTIF(K7,"P")+COUNTIF(M7,"P")+COUNTIF(O7,"P")+COUNTIF(Q7,"P")+COUNTIF(S7,"P")+COUNTIF(U7,"P")</f>
        <v/>
      </c>
      <c r="X7" s="19">
        <f>COUNTIF(C7,"A")+COUNTIF(E7,"A")+COUNTIF(G7,"A")+COUNTIF(I7,"A")+COUNTIF(K7,"A")+COUNTIF(M7,"A")+COUNTIF(O7,"A")+COUNTIF(Q7,"A")+COUNTIF(S7,"A")+COUNTIF(U7,"A")</f>
        <v/>
      </c>
      <c r="Y7" s="19" t="n"/>
      <c r="Z7" s="19">
        <f>IF(Y7="","",Y7-V7)</f>
        <v/>
      </c>
      <c r="AA7" s="21">
        <f>IF(OR(Y7="",Y7=0),"",V7/Y7)</f>
        <v/>
      </c>
      <c r="AB7" s="22">
        <f>IF(OR(Y7="",Y7=0),"",IF((10-W7-X7)&lt;=0,"N/A",Z7/(10-W7-X7)))</f>
        <v/>
      </c>
      <c r="AC7" s="19">
        <f>IF(W7=0,"",ROUND((V7/W7)*10,0))</f>
        <v/>
      </c>
    </row>
    <row r="8">
      <c r="A8" s="18" t="inlineStr">
        <is>
          <t>Sumeyah Khan</t>
        </is>
      </c>
      <c r="B8" s="19" t="n"/>
      <c r="C8" s="6" t="n"/>
      <c r="D8" s="19" t="n"/>
      <c r="E8" s="6" t="n"/>
      <c r="F8" s="19" t="n"/>
      <c r="G8" s="6" t="n"/>
      <c r="H8" s="19" t="n"/>
      <c r="I8" s="6" t="n"/>
      <c r="J8" s="19" t="n"/>
      <c r="K8" s="6" t="n"/>
      <c r="L8" s="19" t="n"/>
      <c r="M8" s="6" t="n"/>
      <c r="N8" s="19" t="n"/>
      <c r="O8" s="6" t="n"/>
      <c r="P8" s="19" t="n"/>
      <c r="Q8" s="6" t="n"/>
      <c r="R8" s="19" t="n"/>
      <c r="S8" s="6" t="n"/>
      <c r="T8" s="19" t="n"/>
      <c r="U8" s="6" t="n"/>
      <c r="V8" s="20">
        <f>SUM(B8,D8,F8,H8,J8,L8,N8,P8,R8,T8)</f>
        <v/>
      </c>
      <c r="W8" s="19">
        <f>COUNTIF(C8,"P")+COUNTIF(E8,"P")+COUNTIF(G8,"P")+COUNTIF(I8,"P")+COUNTIF(K8,"P")+COUNTIF(M8,"P")+COUNTIF(O8,"P")+COUNTIF(Q8,"P")+COUNTIF(S8,"P")+COUNTIF(U8,"P")</f>
        <v/>
      </c>
      <c r="X8" s="19">
        <f>COUNTIF(C8,"A")+COUNTIF(E8,"A")+COUNTIF(G8,"A")+COUNTIF(I8,"A")+COUNTIF(K8,"A")+COUNTIF(M8,"A")+COUNTIF(O8,"A")+COUNTIF(Q8,"A")+COUNTIF(S8,"A")+COUNTIF(U8,"A")</f>
        <v/>
      </c>
      <c r="Y8" s="19" t="n"/>
      <c r="Z8" s="19">
        <f>IF(Y8="","",Y8-V8)</f>
        <v/>
      </c>
      <c r="AA8" s="21">
        <f>IF(OR(Y8="",Y8=0),"",V8/Y8)</f>
        <v/>
      </c>
      <c r="AB8" s="22">
        <f>IF(OR(Y8="",Y8=0),"",IF((10-W8-X8)&lt;=0,"N/A",Z8/(10-W8-X8)))</f>
        <v/>
      </c>
      <c r="AC8" s="19">
        <f>IF(W8=0,"",ROUND((V8/W8)*10,0))</f>
        <v/>
      </c>
    </row>
    <row r="9">
      <c r="A9" s="18" t="inlineStr">
        <is>
          <t>Maria Mujeeb</t>
        </is>
      </c>
      <c r="B9" s="19" t="n"/>
      <c r="C9" s="6" t="n"/>
      <c r="D9" s="19" t="n"/>
      <c r="E9" s="6" t="n"/>
      <c r="F9" s="19" t="n"/>
      <c r="G9" s="6" t="n"/>
      <c r="H9" s="19" t="n"/>
      <c r="I9" s="6" t="n"/>
      <c r="J9" s="19" t="n"/>
      <c r="K9" s="6" t="n"/>
      <c r="L9" s="19" t="n"/>
      <c r="M9" s="6" t="n"/>
      <c r="N9" s="19" t="n"/>
      <c r="O9" s="6" t="n"/>
      <c r="P9" s="19" t="n"/>
      <c r="Q9" s="6" t="n"/>
      <c r="R9" s="19" t="n"/>
      <c r="S9" s="6" t="n"/>
      <c r="T9" s="19" t="n"/>
      <c r="U9" s="6" t="n"/>
      <c r="V9" s="20">
        <f>SUM(B9,D9,F9,H9,J9,L9,N9,P9,R9,T9)</f>
        <v/>
      </c>
      <c r="W9" s="19">
        <f>COUNTIF(C9,"P")+COUNTIF(E9,"P")+COUNTIF(G9,"P")+COUNTIF(I9,"P")+COUNTIF(K9,"P")+COUNTIF(M9,"P")+COUNTIF(O9,"P")+COUNTIF(Q9,"P")+COUNTIF(S9,"P")+COUNTIF(U9,"P")</f>
        <v/>
      </c>
      <c r="X9" s="19">
        <f>COUNTIF(C9,"A")+COUNTIF(E9,"A")+COUNTIF(G9,"A")+COUNTIF(I9,"A")+COUNTIF(K9,"A")+COUNTIF(M9,"A")+COUNTIF(O9,"A")+COUNTIF(Q9,"A")+COUNTIF(S9,"A")+COUNTIF(U9,"A")</f>
        <v/>
      </c>
      <c r="Y9" s="19" t="n"/>
      <c r="Z9" s="19">
        <f>IF(Y9="","",Y9-V9)</f>
        <v/>
      </c>
      <c r="AA9" s="21">
        <f>IF(OR(Y9="",Y9=0),"",V9/Y9)</f>
        <v/>
      </c>
      <c r="AB9" s="22">
        <f>IF(OR(Y9="",Y9=0),"",IF((10-W9-X9)&lt;=0,"N/A",Z9/(10-W9-X9)))</f>
        <v/>
      </c>
      <c r="AC9" s="19">
        <f>IF(W9=0,"",ROUND((V9/W9)*10,0))</f>
        <v/>
      </c>
    </row>
    <row r="10">
      <c r="A10" s="18" t="inlineStr">
        <is>
          <t>Jace Ratliff</t>
        </is>
      </c>
      <c r="B10" s="19" t="n"/>
      <c r="C10" s="6" t="n"/>
      <c r="D10" s="19" t="n"/>
      <c r="E10" s="6" t="n"/>
      <c r="F10" s="19" t="n"/>
      <c r="G10" s="6" t="n"/>
      <c r="H10" s="19" t="n"/>
      <c r="I10" s="6" t="n"/>
      <c r="J10" s="19" t="n"/>
      <c r="K10" s="6" t="n"/>
      <c r="L10" s="19" t="n"/>
      <c r="M10" s="6" t="n"/>
      <c r="N10" s="19" t="n"/>
      <c r="O10" s="6" t="n"/>
      <c r="P10" s="19" t="n"/>
      <c r="Q10" s="6" t="n"/>
      <c r="R10" s="19" t="n"/>
      <c r="S10" s="6" t="n"/>
      <c r="T10" s="19" t="n"/>
      <c r="U10" s="6" t="n"/>
      <c r="V10" s="20">
        <f>SUM(B10,D10,F10,H10,J10,L10,N10,P10,R10,T10)</f>
        <v/>
      </c>
      <c r="W10" s="19">
        <f>COUNTIF(C10,"P")+COUNTIF(E10,"P")+COUNTIF(G10,"P")+COUNTIF(I10,"P")+COUNTIF(K10,"P")+COUNTIF(M10,"P")+COUNTIF(O10,"P")+COUNTIF(Q10,"P")+COUNTIF(S10,"P")+COUNTIF(U10,"P")</f>
        <v/>
      </c>
      <c r="X10" s="19">
        <f>COUNTIF(C10,"A")+COUNTIF(E10,"A")+COUNTIF(G10,"A")+COUNTIF(I10,"A")+COUNTIF(K10,"A")+COUNTIF(M10,"A")+COUNTIF(O10,"A")+COUNTIF(Q10,"A")+COUNTIF(S10,"A")+COUNTIF(U10,"A")</f>
        <v/>
      </c>
      <c r="Y10" s="19" t="n"/>
      <c r="Z10" s="19">
        <f>IF(Y10="","",Y10-V10)</f>
        <v/>
      </c>
      <c r="AA10" s="21">
        <f>IF(OR(Y10="",Y10=0),"",V10/Y10)</f>
        <v/>
      </c>
      <c r="AB10" s="22">
        <f>IF(OR(Y10="",Y10=0),"",IF((10-W10-X10)&lt;=0,"N/A",Z10/(10-W10-X10)))</f>
        <v/>
      </c>
      <c r="AC10" s="19">
        <f>IF(W10=0,"",ROUND((V10/W10)*10,0))</f>
        <v/>
      </c>
    </row>
    <row r="11">
      <c r="A11" s="18" t="inlineStr">
        <is>
          <t>Evan Allen</t>
        </is>
      </c>
      <c r="B11" s="19" t="n"/>
      <c r="C11" s="6" t="n"/>
      <c r="D11" s="19" t="n"/>
      <c r="E11" s="6" t="n"/>
      <c r="F11" s="19" t="n"/>
      <c r="G11" s="6" t="n"/>
      <c r="H11" s="19" t="n"/>
      <c r="I11" s="6" t="n"/>
      <c r="J11" s="19" t="n"/>
      <c r="K11" s="6" t="n"/>
      <c r="L11" s="19" t="n"/>
      <c r="M11" s="6" t="n"/>
      <c r="N11" s="19" t="n"/>
      <c r="O11" s="6" t="n"/>
      <c r="P11" s="19" t="n"/>
      <c r="Q11" s="6" t="n"/>
      <c r="R11" s="19" t="n"/>
      <c r="S11" s="6" t="n"/>
      <c r="T11" s="19" t="n"/>
      <c r="U11" s="6" t="n"/>
      <c r="V11" s="20">
        <f>SUM(B11,D11,F11,H11,J11,L11,N11,P11,R11,T11)</f>
        <v/>
      </c>
      <c r="W11" s="19">
        <f>COUNTIF(C11,"P")+COUNTIF(E11,"P")+COUNTIF(G11,"P")+COUNTIF(I11,"P")+COUNTIF(K11,"P")+COUNTIF(M11,"P")+COUNTIF(O11,"P")+COUNTIF(Q11,"P")+COUNTIF(S11,"P")+COUNTIF(U11,"P")</f>
        <v/>
      </c>
      <c r="X11" s="19">
        <f>COUNTIF(C11,"A")+COUNTIF(E11,"A")+COUNTIF(G11,"A")+COUNTIF(I11,"A")+COUNTIF(K11,"A")+COUNTIF(M11,"A")+COUNTIF(O11,"A")+COUNTIF(Q11,"A")+COUNTIF(S11,"A")+COUNTIF(U11,"A")</f>
        <v/>
      </c>
      <c r="Y11" s="19" t="n"/>
      <c r="Z11" s="19">
        <f>IF(Y11="","",Y11-V11)</f>
        <v/>
      </c>
      <c r="AA11" s="21">
        <f>IF(OR(Y11="",Y11=0),"",V11/Y11)</f>
        <v/>
      </c>
      <c r="AB11" s="22">
        <f>IF(OR(Y11="",Y11=0),"",IF((10-W11-X11)&lt;=0,"N/A",Z11/(10-W11-X11)))</f>
        <v/>
      </c>
      <c r="AC11" s="19">
        <f>IF(W11=0,"",ROUND((V11/W11)*10,0))</f>
        <v/>
      </c>
    </row>
    <row r="12">
      <c r="A12" s="18" t="inlineStr">
        <is>
          <t>Sai Neelagiri</t>
        </is>
      </c>
      <c r="B12" s="19" t="n"/>
      <c r="C12" s="6" t="n"/>
      <c r="D12" s="19" t="n"/>
      <c r="E12" s="6" t="n"/>
      <c r="F12" s="19" t="n"/>
      <c r="G12" s="6" t="n"/>
      <c r="H12" s="19" t="n"/>
      <c r="I12" s="6" t="n"/>
      <c r="J12" s="19" t="n"/>
      <c r="K12" s="6" t="n"/>
      <c r="L12" s="19" t="n"/>
      <c r="M12" s="6" t="n"/>
      <c r="N12" s="19" t="n"/>
      <c r="O12" s="6" t="n"/>
      <c r="P12" s="19" t="n"/>
      <c r="Q12" s="6" t="n"/>
      <c r="R12" s="19" t="n"/>
      <c r="S12" s="6" t="n"/>
      <c r="T12" s="19" t="n"/>
      <c r="U12" s="6" t="n"/>
      <c r="V12" s="20">
        <f>SUM(B12,D12,F12,H12,J12,L12,N12,P12,R12,T12)</f>
        <v/>
      </c>
      <c r="W12" s="19">
        <f>COUNTIF(C12,"P")+COUNTIF(E12,"P")+COUNTIF(G12,"P")+COUNTIF(I12,"P")+COUNTIF(K12,"P")+COUNTIF(M12,"P")+COUNTIF(O12,"P")+COUNTIF(Q12,"P")+COUNTIF(S12,"P")+COUNTIF(U12,"P")</f>
        <v/>
      </c>
      <c r="X12" s="19">
        <f>COUNTIF(C12,"A")+COUNTIF(E12,"A")+COUNTIF(G12,"A")+COUNTIF(I12,"A")+COUNTIF(K12,"A")+COUNTIF(M12,"A")+COUNTIF(O12,"A")+COUNTIF(Q12,"A")+COUNTIF(S12,"A")+COUNTIF(U12,"A")</f>
        <v/>
      </c>
      <c r="Y12" s="19" t="n"/>
      <c r="Z12" s="19">
        <f>IF(Y12="","",Y12-V12)</f>
        <v/>
      </c>
      <c r="AA12" s="21">
        <f>IF(OR(Y12="",Y12=0),"",V12/Y12)</f>
        <v/>
      </c>
      <c r="AB12" s="22">
        <f>IF(OR(Y12="",Y12=0),"",IF((10-W12-X12)&lt;=0,"N/A",Z12/(10-W12-X12)))</f>
        <v/>
      </c>
      <c r="AC12" s="19">
        <f>IF(W12=0,"",ROUND((V12/W12)*10,0))</f>
        <v/>
      </c>
    </row>
    <row r="13">
      <c r="A13" s="18" t="inlineStr">
        <is>
          <t>Fletcher Meese</t>
        </is>
      </c>
      <c r="B13" s="19" t="n"/>
      <c r="C13" s="6" t="n"/>
      <c r="D13" s="19" t="n"/>
      <c r="E13" s="6" t="n"/>
      <c r="F13" s="19" t="n"/>
      <c r="G13" s="6" t="n"/>
      <c r="H13" s="19" t="n"/>
      <c r="I13" s="6" t="n"/>
      <c r="J13" s="19" t="n"/>
      <c r="K13" s="6" t="n"/>
      <c r="L13" s="19" t="n"/>
      <c r="M13" s="6" t="n"/>
      <c r="N13" s="19" t="n"/>
      <c r="O13" s="6" t="n"/>
      <c r="P13" s="19" t="n"/>
      <c r="Q13" s="6" t="n"/>
      <c r="R13" s="19" t="n"/>
      <c r="S13" s="6" t="n"/>
      <c r="T13" s="19" t="n"/>
      <c r="U13" s="6" t="n"/>
      <c r="V13" s="20">
        <f>SUM(B13,D13,F13,H13,J13,L13,N13,P13,R13,T13)</f>
        <v/>
      </c>
      <c r="W13" s="19">
        <f>COUNTIF(C13,"P")+COUNTIF(E13,"P")+COUNTIF(G13,"P")+COUNTIF(I13,"P")+COUNTIF(K13,"P")+COUNTIF(M13,"P")+COUNTIF(O13,"P")+COUNTIF(Q13,"P")+COUNTIF(S13,"P")+COUNTIF(U13,"P")</f>
        <v/>
      </c>
      <c r="X13" s="19">
        <f>COUNTIF(C13,"A")+COUNTIF(E13,"A")+COUNTIF(G13,"A")+COUNTIF(I13,"A")+COUNTIF(K13,"A")+COUNTIF(M13,"A")+COUNTIF(O13,"A")+COUNTIF(Q13,"A")+COUNTIF(S13,"A")+COUNTIF(U13,"A")</f>
        <v/>
      </c>
      <c r="Y13" s="19" t="n"/>
      <c r="Z13" s="19">
        <f>IF(Y13="","",Y13-V13)</f>
        <v/>
      </c>
      <c r="AA13" s="21">
        <f>IF(OR(Y13="",Y13=0),"",V13/Y13)</f>
        <v/>
      </c>
      <c r="AB13" s="22">
        <f>IF(OR(Y13="",Y13=0),"",IF((10-W13-X13)&lt;=0,"N/A",Z13/(10-W13-X13)))</f>
        <v/>
      </c>
      <c r="AC13" s="19">
        <f>IF(W13=0,"",ROUND((V13/W13)*10,0))</f>
        <v/>
      </c>
    </row>
    <row r="14">
      <c r="A14" s="18" t="inlineStr">
        <is>
          <t>Elijah Aldaco</t>
        </is>
      </c>
      <c r="B14" s="19" t="n"/>
      <c r="C14" s="6" t="n"/>
      <c r="D14" s="19" t="n"/>
      <c r="E14" s="6" t="n"/>
      <c r="F14" s="19" t="n"/>
      <c r="G14" s="6" t="n"/>
      <c r="H14" s="19" t="n"/>
      <c r="I14" s="6" t="n"/>
      <c r="J14" s="19" t="n"/>
      <c r="K14" s="6" t="n"/>
      <c r="L14" s="19" t="n"/>
      <c r="M14" s="6" t="n"/>
      <c r="N14" s="19" t="n"/>
      <c r="O14" s="6" t="n"/>
      <c r="P14" s="19" t="n"/>
      <c r="Q14" s="6" t="n"/>
      <c r="R14" s="19" t="n"/>
      <c r="S14" s="6" t="n"/>
      <c r="T14" s="19" t="n"/>
      <c r="U14" s="6" t="n"/>
      <c r="V14" s="20">
        <f>SUM(B14,D14,F14,H14,J14,L14,N14,P14,R14,T14)</f>
        <v/>
      </c>
      <c r="W14" s="19">
        <f>COUNTIF(C14,"P")+COUNTIF(E14,"P")+COUNTIF(G14,"P")+COUNTIF(I14,"P")+COUNTIF(K14,"P")+COUNTIF(M14,"P")+COUNTIF(O14,"P")+COUNTIF(Q14,"P")+COUNTIF(S14,"P")+COUNTIF(U14,"P")</f>
        <v/>
      </c>
      <c r="X14" s="19">
        <f>COUNTIF(C14,"A")+COUNTIF(E14,"A")+COUNTIF(G14,"A")+COUNTIF(I14,"A")+COUNTIF(K14,"A")+COUNTIF(M14,"A")+COUNTIF(O14,"A")+COUNTIF(Q14,"A")+COUNTIF(S14,"A")+COUNTIF(U14,"A")</f>
        <v/>
      </c>
      <c r="Y14" s="19" t="n"/>
      <c r="Z14" s="19">
        <f>IF(Y14="","",Y14-V14)</f>
        <v/>
      </c>
      <c r="AA14" s="21">
        <f>IF(OR(Y14="",Y14=0),"",V14/Y14)</f>
        <v/>
      </c>
      <c r="AB14" s="22">
        <f>IF(OR(Y14="",Y14=0),"",IF((10-W14-X14)&lt;=0,"N/A",Z14/(10-W14-X14)))</f>
        <v/>
      </c>
      <c r="AC14" s="19">
        <f>IF(W14=0,"",ROUND((V14/W14)*10,0))</f>
        <v/>
      </c>
    </row>
    <row r="15">
      <c r="A15" s="18" t="inlineStr">
        <is>
          <t>Cain Gutierrez</t>
        </is>
      </c>
      <c r="B15" s="19" t="n"/>
      <c r="C15" s="6" t="n"/>
      <c r="D15" s="19" t="n"/>
      <c r="E15" s="6" t="n"/>
      <c r="F15" s="19" t="n"/>
      <c r="G15" s="6" t="n"/>
      <c r="H15" s="19" t="n"/>
      <c r="I15" s="6" t="n"/>
      <c r="J15" s="19" t="n"/>
      <c r="K15" s="6" t="n"/>
      <c r="L15" s="19" t="n"/>
      <c r="M15" s="6" t="n"/>
      <c r="N15" s="19" t="n"/>
      <c r="O15" s="6" t="n"/>
      <c r="P15" s="19" t="n"/>
      <c r="Q15" s="6" t="n"/>
      <c r="R15" s="19" t="n"/>
      <c r="S15" s="6" t="n"/>
      <c r="T15" s="19" t="n"/>
      <c r="U15" s="6" t="n"/>
      <c r="V15" s="20">
        <f>SUM(B15,D15,F15,H15,J15,L15,N15,P15,R15,T15)</f>
        <v/>
      </c>
      <c r="W15" s="19">
        <f>COUNTIF(C15,"P")+COUNTIF(E15,"P")+COUNTIF(G15,"P")+COUNTIF(I15,"P")+COUNTIF(K15,"P")+COUNTIF(M15,"P")+COUNTIF(O15,"P")+COUNTIF(Q15,"P")+COUNTIF(S15,"P")+COUNTIF(U15,"P")</f>
        <v/>
      </c>
      <c r="X15" s="19">
        <f>COUNTIF(C15,"A")+COUNTIF(E15,"A")+COUNTIF(G15,"A")+COUNTIF(I15,"A")+COUNTIF(K15,"A")+COUNTIF(M15,"A")+COUNTIF(O15,"A")+COUNTIF(Q15,"A")+COUNTIF(S15,"A")+COUNTIF(U15,"A")</f>
        <v/>
      </c>
      <c r="Y15" s="19" t="n"/>
      <c r="Z15" s="19">
        <f>IF(Y15="","",Y15-V15)</f>
        <v/>
      </c>
      <c r="AA15" s="21">
        <f>IF(OR(Y15="",Y15=0),"",V15/Y15)</f>
        <v/>
      </c>
      <c r="AB15" s="22">
        <f>IF(OR(Y15="",Y15=0),"",IF((10-W15-X15)&lt;=0,"N/A",Z15/(10-W15-X15)))</f>
        <v/>
      </c>
      <c r="AC15" s="19">
        <f>IF(W15=0,"",ROUND((V15/W15)*10,0))</f>
        <v/>
      </c>
    </row>
    <row r="16">
      <c r="A16" s="18" t="inlineStr">
        <is>
          <t>Grayson Barnhart</t>
        </is>
      </c>
      <c r="B16" s="19" t="n"/>
      <c r="C16" s="6" t="n"/>
      <c r="D16" s="19" t="n"/>
      <c r="E16" s="6" t="n"/>
      <c r="F16" s="19" t="n"/>
      <c r="G16" s="6" t="n"/>
      <c r="H16" s="19" t="n"/>
      <c r="I16" s="6" t="n"/>
      <c r="J16" s="19" t="n"/>
      <c r="K16" s="6" t="n"/>
      <c r="L16" s="19" t="n"/>
      <c r="M16" s="6" t="n"/>
      <c r="N16" s="19" t="n"/>
      <c r="O16" s="6" t="n"/>
      <c r="P16" s="19" t="n"/>
      <c r="Q16" s="6" t="n"/>
      <c r="R16" s="19" t="n"/>
      <c r="S16" s="6" t="n"/>
      <c r="T16" s="19" t="n"/>
      <c r="U16" s="6" t="n"/>
      <c r="V16" s="20">
        <f>SUM(B16,D16,F16,H16,J16,L16,N16,P16,R16,T16)</f>
        <v/>
      </c>
      <c r="W16" s="19">
        <f>COUNTIF(C16,"P")+COUNTIF(E16,"P")+COUNTIF(G16,"P")+COUNTIF(I16,"P")+COUNTIF(K16,"P")+COUNTIF(M16,"P")+COUNTIF(O16,"P")+COUNTIF(Q16,"P")+COUNTIF(S16,"P")+COUNTIF(U16,"P")</f>
        <v/>
      </c>
      <c r="X16" s="19">
        <f>COUNTIF(C16,"A")+COUNTIF(E16,"A")+COUNTIF(G16,"A")+COUNTIF(I16,"A")+COUNTIF(K16,"A")+COUNTIF(M16,"A")+COUNTIF(O16,"A")+COUNTIF(Q16,"A")+COUNTIF(S16,"A")+COUNTIF(U16,"A")</f>
        <v/>
      </c>
      <c r="Y16" s="19" t="n"/>
      <c r="Z16" s="19">
        <f>IF(Y16="","",Y16-V16)</f>
        <v/>
      </c>
      <c r="AA16" s="21">
        <f>IF(OR(Y16="",Y16=0),"",V16/Y16)</f>
        <v/>
      </c>
      <c r="AB16" s="22">
        <f>IF(OR(Y16="",Y16=0),"",IF((10-W16-X16)&lt;=0,"N/A",Z16/(10-W16-X16)))</f>
        <v/>
      </c>
      <c r="AC16" s="19">
        <f>IF(W16=0,"",ROUND((V16/W16)*10,0))</f>
        <v/>
      </c>
    </row>
    <row r="17">
      <c r="A17" s="18" t="inlineStr">
        <is>
          <t>Abel Abraham</t>
        </is>
      </c>
      <c r="B17" s="19" t="n"/>
      <c r="C17" s="6" t="n"/>
      <c r="D17" s="19" t="n"/>
      <c r="E17" s="6" t="n"/>
      <c r="F17" s="19" t="n"/>
      <c r="G17" s="6" t="n"/>
      <c r="H17" s="19" t="n"/>
      <c r="I17" s="6" t="n"/>
      <c r="J17" s="19" t="n"/>
      <c r="K17" s="6" t="n"/>
      <c r="L17" s="19" t="n"/>
      <c r="M17" s="6" t="n"/>
      <c r="N17" s="19" t="n"/>
      <c r="O17" s="6" t="n"/>
      <c r="P17" s="19" t="n"/>
      <c r="Q17" s="6" t="n"/>
      <c r="R17" s="19" t="n"/>
      <c r="S17" s="6" t="n"/>
      <c r="T17" s="19" t="n"/>
      <c r="U17" s="6" t="n"/>
      <c r="V17" s="20">
        <f>SUM(B17,D17,F17,H17,J17,L17,N17,P17,R17,T17)</f>
        <v/>
      </c>
      <c r="W17" s="19">
        <f>COUNTIF(C17,"P")+COUNTIF(E17,"P")+COUNTIF(G17,"P")+COUNTIF(I17,"P")+COUNTIF(K17,"P")+COUNTIF(M17,"P")+COUNTIF(O17,"P")+COUNTIF(Q17,"P")+COUNTIF(S17,"P")+COUNTIF(U17,"P")</f>
        <v/>
      </c>
      <c r="X17" s="19">
        <f>COUNTIF(C17,"A")+COUNTIF(E17,"A")+COUNTIF(G17,"A")+COUNTIF(I17,"A")+COUNTIF(K17,"A")+COUNTIF(M17,"A")+COUNTIF(O17,"A")+COUNTIF(Q17,"A")+COUNTIF(S17,"A")+COUNTIF(U17,"A")</f>
        <v/>
      </c>
      <c r="Y17" s="19" t="n"/>
      <c r="Z17" s="19">
        <f>IF(Y17="","",Y17-V17)</f>
        <v/>
      </c>
      <c r="AA17" s="21">
        <f>IF(OR(Y17="",Y17=0),"",V17/Y17)</f>
        <v/>
      </c>
      <c r="AB17" s="22">
        <f>IF(OR(Y17="",Y17=0),"",IF((10-W17-X17)&lt;=0,"N/A",Z17/(10-W17-X17)))</f>
        <v/>
      </c>
      <c r="AC17" s="19">
        <f>IF(W17=0,"",ROUND((V17/W17)*10,0))</f>
        <v/>
      </c>
    </row>
    <row r="18">
      <c r="A18" s="18" t="inlineStr">
        <is>
          <t>John Joby</t>
        </is>
      </c>
      <c r="B18" s="19" t="n"/>
      <c r="C18" s="6" t="n"/>
      <c r="D18" s="19" t="n"/>
      <c r="E18" s="6" t="n"/>
      <c r="F18" s="19" t="n"/>
      <c r="G18" s="6" t="n"/>
      <c r="H18" s="19" t="n"/>
      <c r="I18" s="6" t="n"/>
      <c r="J18" s="19" t="n"/>
      <c r="K18" s="6" t="n"/>
      <c r="L18" s="19" t="n"/>
      <c r="M18" s="6" t="n"/>
      <c r="N18" s="19" t="n"/>
      <c r="O18" s="6" t="n"/>
      <c r="P18" s="19" t="n"/>
      <c r="Q18" s="6" t="n"/>
      <c r="R18" s="19" t="n"/>
      <c r="S18" s="6" t="n"/>
      <c r="T18" s="19" t="n"/>
      <c r="U18" s="6" t="n"/>
      <c r="V18" s="20">
        <f>SUM(B18,D18,F18,H18,J18,L18,N18,P18,R18,T18)</f>
        <v/>
      </c>
      <c r="W18" s="19">
        <f>COUNTIF(C18,"P")+COUNTIF(E18,"P")+COUNTIF(G18,"P")+COUNTIF(I18,"P")+COUNTIF(K18,"P")+COUNTIF(M18,"P")+COUNTIF(O18,"P")+COUNTIF(Q18,"P")+COUNTIF(S18,"P")+COUNTIF(U18,"P")</f>
        <v/>
      </c>
      <c r="X18" s="19">
        <f>COUNTIF(C18,"A")+COUNTIF(E18,"A")+COUNTIF(G18,"A")+COUNTIF(I18,"A")+COUNTIF(K18,"A")+COUNTIF(M18,"A")+COUNTIF(O18,"A")+COUNTIF(Q18,"A")+COUNTIF(S18,"A")+COUNTIF(U18,"A")</f>
        <v/>
      </c>
      <c r="Y18" s="19" t="n"/>
      <c r="Z18" s="19">
        <f>IF(Y18="","",Y18-V18)</f>
        <v/>
      </c>
      <c r="AA18" s="21">
        <f>IF(OR(Y18="",Y18=0),"",V18/Y18)</f>
        <v/>
      </c>
      <c r="AB18" s="22">
        <f>IF(OR(Y18="",Y18=0),"",IF((10-W18-X18)&lt;=0,"N/A",Z18/(10-W18-X18)))</f>
        <v/>
      </c>
      <c r="AC18" s="19">
        <f>IF(W18=0,"",ROUND((V18/W18)*10,0))</f>
        <v/>
      </c>
    </row>
    <row r="19">
      <c r="A19" s="18" t="inlineStr">
        <is>
          <t>Jason Bean</t>
        </is>
      </c>
      <c r="B19" s="19" t="n"/>
      <c r="C19" s="6" t="n"/>
      <c r="D19" s="19" t="n"/>
      <c r="E19" s="6" t="n"/>
      <c r="F19" s="19" t="n"/>
      <c r="G19" s="6" t="n"/>
      <c r="H19" s="19" t="n"/>
      <c r="I19" s="6" t="n"/>
      <c r="J19" s="19" t="n"/>
      <c r="K19" s="6" t="n"/>
      <c r="L19" s="19" t="n"/>
      <c r="M19" s="6" t="n"/>
      <c r="N19" s="19" t="n"/>
      <c r="O19" s="6" t="n"/>
      <c r="P19" s="19" t="n"/>
      <c r="Q19" s="6" t="n"/>
      <c r="R19" s="19" t="n"/>
      <c r="S19" s="6" t="n"/>
      <c r="T19" s="19" t="n"/>
      <c r="U19" s="6" t="n"/>
      <c r="V19" s="20">
        <f>SUM(B19,D19,F19,H19,J19,L19,N19,P19,R19,T19)</f>
        <v/>
      </c>
      <c r="W19" s="19">
        <f>COUNTIF(C19,"P")+COUNTIF(E19,"P")+COUNTIF(G19,"P")+COUNTIF(I19,"P")+COUNTIF(K19,"P")+COUNTIF(M19,"P")+COUNTIF(O19,"P")+COUNTIF(Q19,"P")+COUNTIF(S19,"P")+COUNTIF(U19,"P")</f>
        <v/>
      </c>
      <c r="X19" s="19">
        <f>COUNTIF(C19,"A")+COUNTIF(E19,"A")+COUNTIF(G19,"A")+COUNTIF(I19,"A")+COUNTIF(K19,"A")+COUNTIF(M19,"A")+COUNTIF(O19,"A")+COUNTIF(Q19,"A")+COUNTIF(S19,"A")+COUNTIF(U19,"A")</f>
        <v/>
      </c>
      <c r="Y19" s="19" t="n"/>
      <c r="Z19" s="19">
        <f>IF(Y19="","",Y19-V19)</f>
        <v/>
      </c>
      <c r="AA19" s="21">
        <f>IF(OR(Y19="",Y19=0),"",V19/Y19)</f>
        <v/>
      </c>
      <c r="AB19" s="22">
        <f>IF(OR(Y19="",Y19=0),"",IF((10-W19-X19)&lt;=0,"N/A",Z19/(10-W19-X19)))</f>
        <v/>
      </c>
      <c r="AC19" s="19">
        <f>IF(W19=0,"",ROUND((V19/W19)*10,0))</f>
        <v/>
      </c>
    </row>
    <row r="22">
      <c r="A22" s="23" t="inlineStr">
        <is>
          <t>Q2 — Quarter 2</t>
        </is>
      </c>
    </row>
    <row r="23">
      <c r="A23" s="17" t="inlineStr">
        <is>
          <t>Student Name</t>
        </is>
      </c>
      <c r="B23" s="17" t="inlineStr">
        <is>
          <t>Sess 1</t>
        </is>
      </c>
      <c r="C23" s="17" t="inlineStr">
        <is>
          <t>Att 1</t>
        </is>
      </c>
      <c r="D23" s="17" t="inlineStr">
        <is>
          <t>Sess 2</t>
        </is>
      </c>
      <c r="E23" s="17" t="inlineStr">
        <is>
          <t>Att 2</t>
        </is>
      </c>
      <c r="F23" s="17" t="inlineStr">
        <is>
          <t>Sess 3</t>
        </is>
      </c>
      <c r="G23" s="17" t="inlineStr">
        <is>
          <t>Att 3</t>
        </is>
      </c>
      <c r="H23" s="17" t="inlineStr">
        <is>
          <t>Sess 4</t>
        </is>
      </c>
      <c r="I23" s="17" t="inlineStr">
        <is>
          <t>Att 4</t>
        </is>
      </c>
      <c r="J23" s="17" t="inlineStr">
        <is>
          <t>Sess 5</t>
        </is>
      </c>
      <c r="K23" s="17" t="inlineStr">
        <is>
          <t>Att 5</t>
        </is>
      </c>
      <c r="L23" s="17" t="inlineStr">
        <is>
          <t>Sess 6</t>
        </is>
      </c>
      <c r="M23" s="17" t="inlineStr">
        <is>
          <t>Att 6</t>
        </is>
      </c>
      <c r="N23" s="17" t="inlineStr">
        <is>
          <t>Sess 7</t>
        </is>
      </c>
      <c r="O23" s="17" t="inlineStr">
        <is>
          <t>Att 7</t>
        </is>
      </c>
      <c r="P23" s="17" t="inlineStr">
        <is>
          <t>Sess 8</t>
        </is>
      </c>
      <c r="Q23" s="17" t="inlineStr">
        <is>
          <t>Att 8</t>
        </is>
      </c>
      <c r="R23" s="17" t="inlineStr">
        <is>
          <t>Sess 9</t>
        </is>
      </c>
      <c r="S23" s="17" t="inlineStr">
        <is>
          <t>Att 9</t>
        </is>
      </c>
      <c r="T23" s="17" t="inlineStr">
        <is>
          <t>Sess 10</t>
        </is>
      </c>
      <c r="U23" s="17" t="inlineStr">
        <is>
          <t>Att 10</t>
        </is>
      </c>
      <c r="V23" s="17" t="inlineStr">
        <is>
          <t>Min Met</t>
        </is>
      </c>
      <c r="W23" s="17" t="inlineStr">
        <is>
          <t>Sess Att</t>
        </is>
      </c>
      <c r="X23" s="17" t="inlineStr">
        <is>
          <t>Absences</t>
        </is>
      </c>
      <c r="Y23" s="17" t="inlineStr">
        <is>
          <t>IEP Req</t>
        </is>
      </c>
      <c r="Z23" s="17" t="inlineStr">
        <is>
          <t>Min Remain</t>
        </is>
      </c>
      <c r="AA23" s="17" t="inlineStr">
        <is>
          <t>% Complete</t>
        </is>
      </c>
      <c r="AB23" s="17" t="inlineStr">
        <is>
          <t>Pace Needed</t>
        </is>
      </c>
      <c r="AC23" s="17" t="inlineStr">
        <is>
          <t>Projected</t>
        </is>
      </c>
    </row>
    <row r="24">
      <c r="A24" s="18" t="inlineStr">
        <is>
          <t>Raya Hightower</t>
        </is>
      </c>
      <c r="B24" s="19" t="n"/>
      <c r="C24" s="6" t="n"/>
      <c r="D24" s="19" t="n"/>
      <c r="E24" s="6" t="n"/>
      <c r="F24" s="19" t="n"/>
      <c r="G24" s="6" t="n"/>
      <c r="H24" s="19" t="n"/>
      <c r="I24" s="6" t="n"/>
      <c r="J24" s="19" t="n"/>
      <c r="K24" s="6" t="n"/>
      <c r="L24" s="19" t="n"/>
      <c r="M24" s="6" t="n"/>
      <c r="N24" s="19" t="n"/>
      <c r="O24" s="6" t="n"/>
      <c r="P24" s="19" t="n"/>
      <c r="Q24" s="6" t="n"/>
      <c r="R24" s="19" t="n"/>
      <c r="S24" s="6" t="n"/>
      <c r="T24" s="19" t="n"/>
      <c r="U24" s="6" t="n"/>
      <c r="V24" s="20">
        <f>SUM(B24,D24,F24,H24,J24,L24,N24,P24,R24,T24)</f>
        <v/>
      </c>
      <c r="W24" s="19">
        <f>COUNTIF(C24,"P")+COUNTIF(E24,"P")+COUNTIF(G24,"P")+COUNTIF(I24,"P")+COUNTIF(K24,"P")+COUNTIF(M24,"P")+COUNTIF(O24,"P")+COUNTIF(Q24,"P")+COUNTIF(S24,"P")+COUNTIF(U24,"P")</f>
        <v/>
      </c>
      <c r="X24" s="19">
        <f>COUNTIF(C24,"A")+COUNTIF(E24,"A")+COUNTIF(G24,"A")+COUNTIF(I24,"A")+COUNTIF(K24,"A")+COUNTIF(M24,"A")+COUNTIF(O24,"A")+COUNTIF(Q24,"A")+COUNTIF(S24,"A")+COUNTIF(U24,"A")</f>
        <v/>
      </c>
      <c r="Y24" s="19" t="n"/>
      <c r="Z24" s="19">
        <f>IF(Y24="","",Y24-V24)</f>
        <v/>
      </c>
      <c r="AA24" s="21">
        <f>IF(OR(Y24="",Y24=0),"",V24/Y24)</f>
        <v/>
      </c>
      <c r="AB24" s="22">
        <f>IF(OR(Y24="",Y24=0),"",IF((10-W24-X24)&lt;=0,"N/A",Z24/(10-W24-X24)))</f>
        <v/>
      </c>
      <c r="AC24" s="19">
        <f>IF(W24=0,"",ROUND((V24/W24)*10,0))</f>
        <v/>
      </c>
    </row>
    <row r="25">
      <c r="A25" s="18" t="inlineStr">
        <is>
          <t>Anu Vijay Anand</t>
        </is>
      </c>
      <c r="B25" s="19" t="n"/>
      <c r="C25" s="6" t="n"/>
      <c r="D25" s="19" t="n"/>
      <c r="E25" s="6" t="n"/>
      <c r="F25" s="19" t="n"/>
      <c r="G25" s="6" t="n"/>
      <c r="H25" s="19" t="n"/>
      <c r="I25" s="6" t="n"/>
      <c r="J25" s="19" t="n"/>
      <c r="K25" s="6" t="n"/>
      <c r="L25" s="19" t="n"/>
      <c r="M25" s="6" t="n"/>
      <c r="N25" s="19" t="n"/>
      <c r="O25" s="6" t="n"/>
      <c r="P25" s="19" t="n"/>
      <c r="Q25" s="6" t="n"/>
      <c r="R25" s="19" t="n"/>
      <c r="S25" s="6" t="n"/>
      <c r="T25" s="19" t="n"/>
      <c r="U25" s="6" t="n"/>
      <c r="V25" s="20">
        <f>SUM(B25,D25,F25,H25,J25,L25,N25,P25,R25,T25)</f>
        <v/>
      </c>
      <c r="W25" s="19">
        <f>COUNTIF(C25,"P")+COUNTIF(E25,"P")+COUNTIF(G25,"P")+COUNTIF(I25,"P")+COUNTIF(K25,"P")+COUNTIF(M25,"P")+COUNTIF(O25,"P")+COUNTIF(Q25,"P")+COUNTIF(S25,"P")+COUNTIF(U25,"P")</f>
        <v/>
      </c>
      <c r="X25" s="19">
        <f>COUNTIF(C25,"A")+COUNTIF(E25,"A")+COUNTIF(G25,"A")+COUNTIF(I25,"A")+COUNTIF(K25,"A")+COUNTIF(M25,"A")+COUNTIF(O25,"A")+COUNTIF(Q25,"A")+COUNTIF(S25,"A")+COUNTIF(U25,"A")</f>
        <v/>
      </c>
      <c r="Y25" s="19" t="n"/>
      <c r="Z25" s="19">
        <f>IF(Y25="","",Y25-V25)</f>
        <v/>
      </c>
      <c r="AA25" s="21">
        <f>IF(OR(Y25="",Y25=0),"",V25/Y25)</f>
        <v/>
      </c>
      <c r="AB25" s="22">
        <f>IF(OR(Y25="",Y25=0),"",IF((10-W25-X25)&lt;=0,"N/A",Z25/(10-W25-X25)))</f>
        <v/>
      </c>
      <c r="AC25" s="19">
        <f>IF(W25=0,"",ROUND((V25/W25)*10,0))</f>
        <v/>
      </c>
    </row>
    <row r="26">
      <c r="A26" s="18" t="inlineStr">
        <is>
          <t>Aadhya Gone</t>
        </is>
      </c>
      <c r="B26" s="19" t="n"/>
      <c r="C26" s="6" t="n"/>
      <c r="D26" s="19" t="n"/>
      <c r="E26" s="6" t="n"/>
      <c r="F26" s="19" t="n"/>
      <c r="G26" s="6" t="n"/>
      <c r="H26" s="19" t="n"/>
      <c r="I26" s="6" t="n"/>
      <c r="J26" s="19" t="n"/>
      <c r="K26" s="6" t="n"/>
      <c r="L26" s="19" t="n"/>
      <c r="M26" s="6" t="n"/>
      <c r="N26" s="19" t="n"/>
      <c r="O26" s="6" t="n"/>
      <c r="P26" s="19" t="n"/>
      <c r="Q26" s="6" t="n"/>
      <c r="R26" s="19" t="n"/>
      <c r="S26" s="6" t="n"/>
      <c r="T26" s="19" t="n"/>
      <c r="U26" s="6" t="n"/>
      <c r="V26" s="20">
        <f>SUM(B26,D26,F26,H26,J26,L26,N26,P26,R26,T26)</f>
        <v/>
      </c>
      <c r="W26" s="19">
        <f>COUNTIF(C26,"P")+COUNTIF(E26,"P")+COUNTIF(G26,"P")+COUNTIF(I26,"P")+COUNTIF(K26,"P")+COUNTIF(M26,"P")+COUNTIF(O26,"P")+COUNTIF(Q26,"P")+COUNTIF(S26,"P")+COUNTIF(U26,"P")</f>
        <v/>
      </c>
      <c r="X26" s="19">
        <f>COUNTIF(C26,"A")+COUNTIF(E26,"A")+COUNTIF(G26,"A")+COUNTIF(I26,"A")+COUNTIF(K26,"A")+COUNTIF(M26,"A")+COUNTIF(O26,"A")+COUNTIF(Q26,"A")+COUNTIF(S26,"A")+COUNTIF(U26,"A")</f>
        <v/>
      </c>
      <c r="Y26" s="19" t="n"/>
      <c r="Z26" s="19">
        <f>IF(Y26="","",Y26-V26)</f>
        <v/>
      </c>
      <c r="AA26" s="21">
        <f>IF(OR(Y26="",Y26=0),"",V26/Y26)</f>
        <v/>
      </c>
      <c r="AB26" s="22">
        <f>IF(OR(Y26="",Y26=0),"",IF((10-W26-X26)&lt;=0,"N/A",Z26/(10-W26-X26)))</f>
        <v/>
      </c>
      <c r="AC26" s="19">
        <f>IF(W26=0,"",ROUND((V26/W26)*10,0))</f>
        <v/>
      </c>
    </row>
    <row r="27">
      <c r="A27" s="18" t="inlineStr">
        <is>
          <t>Sumeyah Khan</t>
        </is>
      </c>
      <c r="B27" s="19" t="n"/>
      <c r="C27" s="6" t="n"/>
      <c r="D27" s="19" t="n"/>
      <c r="E27" s="6" t="n"/>
      <c r="F27" s="19" t="n"/>
      <c r="G27" s="6" t="n"/>
      <c r="H27" s="19" t="n"/>
      <c r="I27" s="6" t="n"/>
      <c r="J27" s="19" t="n"/>
      <c r="K27" s="6" t="n"/>
      <c r="L27" s="19" t="n"/>
      <c r="M27" s="6" t="n"/>
      <c r="N27" s="19" t="n"/>
      <c r="O27" s="6" t="n"/>
      <c r="P27" s="19" t="n"/>
      <c r="Q27" s="6" t="n"/>
      <c r="R27" s="19" t="n"/>
      <c r="S27" s="6" t="n"/>
      <c r="T27" s="19" t="n"/>
      <c r="U27" s="6" t="n"/>
      <c r="V27" s="20">
        <f>SUM(B27,D27,F27,H27,J27,L27,N27,P27,R27,T27)</f>
        <v/>
      </c>
      <c r="W27" s="19">
        <f>COUNTIF(C27,"P")+COUNTIF(E27,"P")+COUNTIF(G27,"P")+COUNTIF(I27,"P")+COUNTIF(K27,"P")+COUNTIF(M27,"P")+COUNTIF(O27,"P")+COUNTIF(Q27,"P")+COUNTIF(S27,"P")+COUNTIF(U27,"P")</f>
        <v/>
      </c>
      <c r="X27" s="19">
        <f>COUNTIF(C27,"A")+COUNTIF(E27,"A")+COUNTIF(G27,"A")+COUNTIF(I27,"A")+COUNTIF(K27,"A")+COUNTIF(M27,"A")+COUNTIF(O27,"A")+COUNTIF(Q27,"A")+COUNTIF(S27,"A")+COUNTIF(U27,"A")</f>
        <v/>
      </c>
      <c r="Y27" s="19" t="n"/>
      <c r="Z27" s="19">
        <f>IF(Y27="","",Y27-V27)</f>
        <v/>
      </c>
      <c r="AA27" s="21">
        <f>IF(OR(Y27="",Y27=0),"",V27/Y27)</f>
        <v/>
      </c>
      <c r="AB27" s="22">
        <f>IF(OR(Y27="",Y27=0),"",IF((10-W27-X27)&lt;=0,"N/A",Z27/(10-W27-X27)))</f>
        <v/>
      </c>
      <c r="AC27" s="19">
        <f>IF(W27=0,"",ROUND((V27/W27)*10,0))</f>
        <v/>
      </c>
    </row>
    <row r="28">
      <c r="A28" s="18" t="inlineStr">
        <is>
          <t>Maria Mujeeb</t>
        </is>
      </c>
      <c r="B28" s="19" t="n"/>
      <c r="C28" s="6" t="n"/>
      <c r="D28" s="19" t="n"/>
      <c r="E28" s="6" t="n"/>
      <c r="F28" s="19" t="n"/>
      <c r="G28" s="6" t="n"/>
      <c r="H28" s="19" t="n"/>
      <c r="I28" s="6" t="n"/>
      <c r="J28" s="19" t="n"/>
      <c r="K28" s="6" t="n"/>
      <c r="L28" s="19" t="n"/>
      <c r="M28" s="6" t="n"/>
      <c r="N28" s="19" t="n"/>
      <c r="O28" s="6" t="n"/>
      <c r="P28" s="19" t="n"/>
      <c r="Q28" s="6" t="n"/>
      <c r="R28" s="19" t="n"/>
      <c r="S28" s="6" t="n"/>
      <c r="T28" s="19" t="n"/>
      <c r="U28" s="6" t="n"/>
      <c r="V28" s="20">
        <f>SUM(B28,D28,F28,H28,J28,L28,N28,P28,R28,T28)</f>
        <v/>
      </c>
      <c r="W28" s="19">
        <f>COUNTIF(C28,"P")+COUNTIF(E28,"P")+COUNTIF(G28,"P")+COUNTIF(I28,"P")+COUNTIF(K28,"P")+COUNTIF(M28,"P")+COUNTIF(O28,"P")+COUNTIF(Q28,"P")+COUNTIF(S28,"P")+COUNTIF(U28,"P")</f>
        <v/>
      </c>
      <c r="X28" s="19">
        <f>COUNTIF(C28,"A")+COUNTIF(E28,"A")+COUNTIF(G28,"A")+COUNTIF(I28,"A")+COUNTIF(K28,"A")+COUNTIF(M28,"A")+COUNTIF(O28,"A")+COUNTIF(Q28,"A")+COUNTIF(S28,"A")+COUNTIF(U28,"A")</f>
        <v/>
      </c>
      <c r="Y28" s="19" t="n"/>
      <c r="Z28" s="19">
        <f>IF(Y28="","",Y28-V28)</f>
        <v/>
      </c>
      <c r="AA28" s="21">
        <f>IF(OR(Y28="",Y28=0),"",V28/Y28)</f>
        <v/>
      </c>
      <c r="AB28" s="22">
        <f>IF(OR(Y28="",Y28=0),"",IF((10-W28-X28)&lt;=0,"N/A",Z28/(10-W28-X28)))</f>
        <v/>
      </c>
      <c r="AC28" s="19">
        <f>IF(W28=0,"",ROUND((V28/W28)*10,0))</f>
        <v/>
      </c>
    </row>
    <row r="29">
      <c r="A29" s="18" t="inlineStr">
        <is>
          <t>Jace Ratliff</t>
        </is>
      </c>
      <c r="B29" s="19" t="n"/>
      <c r="C29" s="6" t="n"/>
      <c r="D29" s="19" t="n"/>
      <c r="E29" s="6" t="n"/>
      <c r="F29" s="19" t="n"/>
      <c r="G29" s="6" t="n"/>
      <c r="H29" s="19" t="n"/>
      <c r="I29" s="6" t="n"/>
      <c r="J29" s="19" t="n"/>
      <c r="K29" s="6" t="n"/>
      <c r="L29" s="19" t="n"/>
      <c r="M29" s="6" t="n"/>
      <c r="N29" s="19" t="n"/>
      <c r="O29" s="6" t="n"/>
      <c r="P29" s="19" t="n"/>
      <c r="Q29" s="6" t="n"/>
      <c r="R29" s="19" t="n"/>
      <c r="S29" s="6" t="n"/>
      <c r="T29" s="19" t="n"/>
      <c r="U29" s="6" t="n"/>
      <c r="V29" s="20">
        <f>SUM(B29,D29,F29,H29,J29,L29,N29,P29,R29,T29)</f>
        <v/>
      </c>
      <c r="W29" s="19">
        <f>COUNTIF(C29,"P")+COUNTIF(E29,"P")+COUNTIF(G29,"P")+COUNTIF(I29,"P")+COUNTIF(K29,"P")+COUNTIF(M29,"P")+COUNTIF(O29,"P")+COUNTIF(Q29,"P")+COUNTIF(S29,"P")+COUNTIF(U29,"P")</f>
        <v/>
      </c>
      <c r="X29" s="19">
        <f>COUNTIF(C29,"A")+COUNTIF(E29,"A")+COUNTIF(G29,"A")+COUNTIF(I29,"A")+COUNTIF(K29,"A")+COUNTIF(M29,"A")+COUNTIF(O29,"A")+COUNTIF(Q29,"A")+COUNTIF(S29,"A")+COUNTIF(U29,"A")</f>
        <v/>
      </c>
      <c r="Y29" s="19" t="n"/>
      <c r="Z29" s="19">
        <f>IF(Y29="","",Y29-V29)</f>
        <v/>
      </c>
      <c r="AA29" s="21">
        <f>IF(OR(Y29="",Y29=0),"",V29/Y29)</f>
        <v/>
      </c>
      <c r="AB29" s="22">
        <f>IF(OR(Y29="",Y29=0),"",IF((10-W29-X29)&lt;=0,"N/A",Z29/(10-W29-X29)))</f>
        <v/>
      </c>
      <c r="AC29" s="19">
        <f>IF(W29=0,"",ROUND((V29/W29)*10,0))</f>
        <v/>
      </c>
    </row>
    <row r="30">
      <c r="A30" s="18" t="inlineStr">
        <is>
          <t>Evan Allen</t>
        </is>
      </c>
      <c r="B30" s="19" t="n"/>
      <c r="C30" s="6" t="n"/>
      <c r="D30" s="19" t="n"/>
      <c r="E30" s="6" t="n"/>
      <c r="F30" s="19" t="n"/>
      <c r="G30" s="6" t="n"/>
      <c r="H30" s="19" t="n"/>
      <c r="I30" s="6" t="n"/>
      <c r="J30" s="19" t="n"/>
      <c r="K30" s="6" t="n"/>
      <c r="L30" s="19" t="n"/>
      <c r="M30" s="6" t="n"/>
      <c r="N30" s="19" t="n"/>
      <c r="O30" s="6" t="n"/>
      <c r="P30" s="19" t="n"/>
      <c r="Q30" s="6" t="n"/>
      <c r="R30" s="19" t="n"/>
      <c r="S30" s="6" t="n"/>
      <c r="T30" s="19" t="n"/>
      <c r="U30" s="6" t="n"/>
      <c r="V30" s="20">
        <f>SUM(B30,D30,F30,H30,J30,L30,N30,P30,R30,T30)</f>
        <v/>
      </c>
      <c r="W30" s="19">
        <f>COUNTIF(C30,"P")+COUNTIF(E30,"P")+COUNTIF(G30,"P")+COUNTIF(I30,"P")+COUNTIF(K30,"P")+COUNTIF(M30,"P")+COUNTIF(O30,"P")+COUNTIF(Q30,"P")+COUNTIF(S30,"P")+COUNTIF(U30,"P")</f>
        <v/>
      </c>
      <c r="X30" s="19">
        <f>COUNTIF(C30,"A")+COUNTIF(E30,"A")+COUNTIF(G30,"A")+COUNTIF(I30,"A")+COUNTIF(K30,"A")+COUNTIF(M30,"A")+COUNTIF(O30,"A")+COUNTIF(Q30,"A")+COUNTIF(S30,"A")+COUNTIF(U30,"A")</f>
        <v/>
      </c>
      <c r="Y30" s="19" t="n"/>
      <c r="Z30" s="19">
        <f>IF(Y30="","",Y30-V30)</f>
        <v/>
      </c>
      <c r="AA30" s="21">
        <f>IF(OR(Y30="",Y30=0),"",V30/Y30)</f>
        <v/>
      </c>
      <c r="AB30" s="22">
        <f>IF(OR(Y30="",Y30=0),"",IF((10-W30-X30)&lt;=0,"N/A",Z30/(10-W30-X30)))</f>
        <v/>
      </c>
      <c r="AC30" s="19">
        <f>IF(W30=0,"",ROUND((V30/W30)*10,0))</f>
        <v/>
      </c>
    </row>
    <row r="31">
      <c r="A31" s="18" t="inlineStr">
        <is>
          <t>Sai Neelagiri</t>
        </is>
      </c>
      <c r="B31" s="19" t="n"/>
      <c r="C31" s="6" t="n"/>
      <c r="D31" s="19" t="n"/>
      <c r="E31" s="6" t="n"/>
      <c r="F31" s="19" t="n"/>
      <c r="G31" s="6" t="n"/>
      <c r="H31" s="19" t="n"/>
      <c r="I31" s="6" t="n"/>
      <c r="J31" s="19" t="n"/>
      <c r="K31" s="6" t="n"/>
      <c r="L31" s="19" t="n"/>
      <c r="M31" s="6" t="n"/>
      <c r="N31" s="19" t="n"/>
      <c r="O31" s="6" t="n"/>
      <c r="P31" s="19" t="n"/>
      <c r="Q31" s="6" t="n"/>
      <c r="R31" s="19" t="n"/>
      <c r="S31" s="6" t="n"/>
      <c r="T31" s="19" t="n"/>
      <c r="U31" s="6" t="n"/>
      <c r="V31" s="20">
        <f>SUM(B31,D31,F31,H31,J31,L31,N31,P31,R31,T31)</f>
        <v/>
      </c>
      <c r="W31" s="19">
        <f>COUNTIF(C31,"P")+COUNTIF(E31,"P")+COUNTIF(G31,"P")+COUNTIF(I31,"P")+COUNTIF(K31,"P")+COUNTIF(M31,"P")+COUNTIF(O31,"P")+COUNTIF(Q31,"P")+COUNTIF(S31,"P")+COUNTIF(U31,"P")</f>
        <v/>
      </c>
      <c r="X31" s="19">
        <f>COUNTIF(C31,"A")+COUNTIF(E31,"A")+COUNTIF(G31,"A")+COUNTIF(I31,"A")+COUNTIF(K31,"A")+COUNTIF(M31,"A")+COUNTIF(O31,"A")+COUNTIF(Q31,"A")+COUNTIF(S31,"A")+COUNTIF(U31,"A")</f>
        <v/>
      </c>
      <c r="Y31" s="19" t="n"/>
      <c r="Z31" s="19">
        <f>IF(Y31="","",Y31-V31)</f>
        <v/>
      </c>
      <c r="AA31" s="21">
        <f>IF(OR(Y31="",Y31=0),"",V31/Y31)</f>
        <v/>
      </c>
      <c r="AB31" s="22">
        <f>IF(OR(Y31="",Y31=0),"",IF((10-W31-X31)&lt;=0,"N/A",Z31/(10-W31-X31)))</f>
        <v/>
      </c>
      <c r="AC31" s="19">
        <f>IF(W31=0,"",ROUND((V31/W31)*10,0))</f>
        <v/>
      </c>
    </row>
    <row r="32">
      <c r="A32" s="18" t="inlineStr">
        <is>
          <t>Fletcher Meese</t>
        </is>
      </c>
      <c r="B32" s="19" t="n"/>
      <c r="C32" s="6" t="n"/>
      <c r="D32" s="19" t="n"/>
      <c r="E32" s="6" t="n"/>
      <c r="F32" s="19" t="n"/>
      <c r="G32" s="6" t="n"/>
      <c r="H32" s="19" t="n"/>
      <c r="I32" s="6" t="n"/>
      <c r="J32" s="19" t="n"/>
      <c r="K32" s="6" t="n"/>
      <c r="L32" s="19" t="n"/>
      <c r="M32" s="6" t="n"/>
      <c r="N32" s="19" t="n"/>
      <c r="O32" s="6" t="n"/>
      <c r="P32" s="19" t="n"/>
      <c r="Q32" s="6" t="n"/>
      <c r="R32" s="19" t="n"/>
      <c r="S32" s="6" t="n"/>
      <c r="T32" s="19" t="n"/>
      <c r="U32" s="6" t="n"/>
      <c r="V32" s="20">
        <f>SUM(B32,D32,F32,H32,J32,L32,N32,P32,R32,T32)</f>
        <v/>
      </c>
      <c r="W32" s="19">
        <f>COUNTIF(C32,"P")+COUNTIF(E32,"P")+COUNTIF(G32,"P")+COUNTIF(I32,"P")+COUNTIF(K32,"P")+COUNTIF(M32,"P")+COUNTIF(O32,"P")+COUNTIF(Q32,"P")+COUNTIF(S32,"P")+COUNTIF(U32,"P")</f>
        <v/>
      </c>
      <c r="X32" s="19">
        <f>COUNTIF(C32,"A")+COUNTIF(E32,"A")+COUNTIF(G32,"A")+COUNTIF(I32,"A")+COUNTIF(K32,"A")+COUNTIF(M32,"A")+COUNTIF(O32,"A")+COUNTIF(Q32,"A")+COUNTIF(S32,"A")+COUNTIF(U32,"A")</f>
        <v/>
      </c>
      <c r="Y32" s="19" t="n"/>
      <c r="Z32" s="19">
        <f>IF(Y32="","",Y32-V32)</f>
        <v/>
      </c>
      <c r="AA32" s="21">
        <f>IF(OR(Y32="",Y32=0),"",V32/Y32)</f>
        <v/>
      </c>
      <c r="AB32" s="22">
        <f>IF(OR(Y32="",Y32=0),"",IF((10-W32-X32)&lt;=0,"N/A",Z32/(10-W32-X32)))</f>
        <v/>
      </c>
      <c r="AC32" s="19">
        <f>IF(W32=0,"",ROUND((V32/W32)*10,0))</f>
        <v/>
      </c>
    </row>
    <row r="33">
      <c r="A33" s="18" t="inlineStr">
        <is>
          <t>Elijah Aldaco</t>
        </is>
      </c>
      <c r="B33" s="19" t="n"/>
      <c r="C33" s="6" t="n"/>
      <c r="D33" s="19" t="n"/>
      <c r="E33" s="6" t="n"/>
      <c r="F33" s="19" t="n"/>
      <c r="G33" s="6" t="n"/>
      <c r="H33" s="19" t="n"/>
      <c r="I33" s="6" t="n"/>
      <c r="J33" s="19" t="n"/>
      <c r="K33" s="6" t="n"/>
      <c r="L33" s="19" t="n"/>
      <c r="M33" s="6" t="n"/>
      <c r="N33" s="19" t="n"/>
      <c r="O33" s="6" t="n"/>
      <c r="P33" s="19" t="n"/>
      <c r="Q33" s="6" t="n"/>
      <c r="R33" s="19" t="n"/>
      <c r="S33" s="6" t="n"/>
      <c r="T33" s="19" t="n"/>
      <c r="U33" s="6" t="n"/>
      <c r="V33" s="20">
        <f>SUM(B33,D33,F33,H33,J33,L33,N33,P33,R33,T33)</f>
        <v/>
      </c>
      <c r="W33" s="19">
        <f>COUNTIF(C33,"P")+COUNTIF(E33,"P")+COUNTIF(G33,"P")+COUNTIF(I33,"P")+COUNTIF(K33,"P")+COUNTIF(M33,"P")+COUNTIF(O33,"P")+COUNTIF(Q33,"P")+COUNTIF(S33,"P")+COUNTIF(U33,"P")</f>
        <v/>
      </c>
      <c r="X33" s="19">
        <f>COUNTIF(C33,"A")+COUNTIF(E33,"A")+COUNTIF(G33,"A")+COUNTIF(I33,"A")+COUNTIF(K33,"A")+COUNTIF(M33,"A")+COUNTIF(O33,"A")+COUNTIF(Q33,"A")+COUNTIF(S33,"A")+COUNTIF(U33,"A")</f>
        <v/>
      </c>
      <c r="Y33" s="19" t="n"/>
      <c r="Z33" s="19">
        <f>IF(Y33="","",Y33-V33)</f>
        <v/>
      </c>
      <c r="AA33" s="21">
        <f>IF(OR(Y33="",Y33=0),"",V33/Y33)</f>
        <v/>
      </c>
      <c r="AB33" s="22">
        <f>IF(OR(Y33="",Y33=0),"",IF((10-W33-X33)&lt;=0,"N/A",Z33/(10-W33-X33)))</f>
        <v/>
      </c>
      <c r="AC33" s="19">
        <f>IF(W33=0,"",ROUND((V33/W33)*10,0))</f>
        <v/>
      </c>
    </row>
    <row r="34">
      <c r="A34" s="18" t="inlineStr">
        <is>
          <t>Cain Gutierrez</t>
        </is>
      </c>
      <c r="B34" s="19" t="n"/>
      <c r="C34" s="6" t="n"/>
      <c r="D34" s="19" t="n"/>
      <c r="E34" s="6" t="n"/>
      <c r="F34" s="19" t="n"/>
      <c r="G34" s="6" t="n"/>
      <c r="H34" s="19" t="n"/>
      <c r="I34" s="6" t="n"/>
      <c r="J34" s="19" t="n"/>
      <c r="K34" s="6" t="n"/>
      <c r="L34" s="19" t="n"/>
      <c r="M34" s="6" t="n"/>
      <c r="N34" s="19" t="n"/>
      <c r="O34" s="6" t="n"/>
      <c r="P34" s="19" t="n"/>
      <c r="Q34" s="6" t="n"/>
      <c r="R34" s="19" t="n"/>
      <c r="S34" s="6" t="n"/>
      <c r="T34" s="19" t="n"/>
      <c r="U34" s="6" t="n"/>
      <c r="V34" s="20">
        <f>SUM(B34,D34,F34,H34,J34,L34,N34,P34,R34,T34)</f>
        <v/>
      </c>
      <c r="W34" s="19">
        <f>COUNTIF(C34,"P")+COUNTIF(E34,"P")+COUNTIF(G34,"P")+COUNTIF(I34,"P")+COUNTIF(K34,"P")+COUNTIF(M34,"P")+COUNTIF(O34,"P")+COUNTIF(Q34,"P")+COUNTIF(S34,"P")+COUNTIF(U34,"P")</f>
        <v/>
      </c>
      <c r="X34" s="19">
        <f>COUNTIF(C34,"A")+COUNTIF(E34,"A")+COUNTIF(G34,"A")+COUNTIF(I34,"A")+COUNTIF(K34,"A")+COUNTIF(M34,"A")+COUNTIF(O34,"A")+COUNTIF(Q34,"A")+COUNTIF(S34,"A")+COUNTIF(U34,"A")</f>
        <v/>
      </c>
      <c r="Y34" s="19" t="n"/>
      <c r="Z34" s="19">
        <f>IF(Y34="","",Y34-V34)</f>
        <v/>
      </c>
      <c r="AA34" s="21">
        <f>IF(OR(Y34="",Y34=0),"",V34/Y34)</f>
        <v/>
      </c>
      <c r="AB34" s="22">
        <f>IF(OR(Y34="",Y34=0),"",IF((10-W34-X34)&lt;=0,"N/A",Z34/(10-W34-X34)))</f>
        <v/>
      </c>
      <c r="AC34" s="19">
        <f>IF(W34=0,"",ROUND((V34/W34)*10,0))</f>
        <v/>
      </c>
    </row>
    <row r="35">
      <c r="A35" s="18" t="inlineStr">
        <is>
          <t>Grayson Barnhart</t>
        </is>
      </c>
      <c r="B35" s="19" t="n"/>
      <c r="C35" s="6" t="n"/>
      <c r="D35" s="19" t="n"/>
      <c r="E35" s="6" t="n"/>
      <c r="F35" s="19" t="n"/>
      <c r="G35" s="6" t="n"/>
      <c r="H35" s="19" t="n"/>
      <c r="I35" s="6" t="n"/>
      <c r="J35" s="19" t="n"/>
      <c r="K35" s="6" t="n"/>
      <c r="L35" s="19" t="n"/>
      <c r="M35" s="6" t="n"/>
      <c r="N35" s="19" t="n"/>
      <c r="O35" s="6" t="n"/>
      <c r="P35" s="19" t="n"/>
      <c r="Q35" s="6" t="n"/>
      <c r="R35" s="19" t="n"/>
      <c r="S35" s="6" t="n"/>
      <c r="T35" s="19" t="n"/>
      <c r="U35" s="6" t="n"/>
      <c r="V35" s="20">
        <f>SUM(B35,D35,F35,H35,J35,L35,N35,P35,R35,T35)</f>
        <v/>
      </c>
      <c r="W35" s="19">
        <f>COUNTIF(C35,"P")+COUNTIF(E35,"P")+COUNTIF(G35,"P")+COUNTIF(I35,"P")+COUNTIF(K35,"P")+COUNTIF(M35,"P")+COUNTIF(O35,"P")+COUNTIF(Q35,"P")+COUNTIF(S35,"P")+COUNTIF(U35,"P")</f>
        <v/>
      </c>
      <c r="X35" s="19">
        <f>COUNTIF(C35,"A")+COUNTIF(E35,"A")+COUNTIF(G35,"A")+COUNTIF(I35,"A")+COUNTIF(K35,"A")+COUNTIF(M35,"A")+COUNTIF(O35,"A")+COUNTIF(Q35,"A")+COUNTIF(S35,"A")+COUNTIF(U35,"A")</f>
        <v/>
      </c>
      <c r="Y35" s="19" t="n"/>
      <c r="Z35" s="19">
        <f>IF(Y35="","",Y35-V35)</f>
        <v/>
      </c>
      <c r="AA35" s="21">
        <f>IF(OR(Y35="",Y35=0),"",V35/Y35)</f>
        <v/>
      </c>
      <c r="AB35" s="22">
        <f>IF(OR(Y35="",Y35=0),"",IF((10-W35-X35)&lt;=0,"N/A",Z35/(10-W35-X35)))</f>
        <v/>
      </c>
      <c r="AC35" s="19">
        <f>IF(W35=0,"",ROUND((V35/W35)*10,0))</f>
        <v/>
      </c>
    </row>
    <row r="36">
      <c r="A36" s="18" t="inlineStr">
        <is>
          <t>Abel Abraham</t>
        </is>
      </c>
      <c r="B36" s="19" t="n"/>
      <c r="C36" s="6" t="n"/>
      <c r="D36" s="19" t="n"/>
      <c r="E36" s="6" t="n"/>
      <c r="F36" s="19" t="n"/>
      <c r="G36" s="6" t="n"/>
      <c r="H36" s="19" t="n"/>
      <c r="I36" s="6" t="n"/>
      <c r="J36" s="19" t="n"/>
      <c r="K36" s="6" t="n"/>
      <c r="L36" s="19" t="n"/>
      <c r="M36" s="6" t="n"/>
      <c r="N36" s="19" t="n"/>
      <c r="O36" s="6" t="n"/>
      <c r="P36" s="19" t="n"/>
      <c r="Q36" s="6" t="n"/>
      <c r="R36" s="19" t="n"/>
      <c r="S36" s="6" t="n"/>
      <c r="T36" s="19" t="n"/>
      <c r="U36" s="6" t="n"/>
      <c r="V36" s="20">
        <f>SUM(B36,D36,F36,H36,J36,L36,N36,P36,R36,T36)</f>
        <v/>
      </c>
      <c r="W36" s="19">
        <f>COUNTIF(C36,"P")+COUNTIF(E36,"P")+COUNTIF(G36,"P")+COUNTIF(I36,"P")+COUNTIF(K36,"P")+COUNTIF(M36,"P")+COUNTIF(O36,"P")+COUNTIF(Q36,"P")+COUNTIF(S36,"P")+COUNTIF(U36,"P")</f>
        <v/>
      </c>
      <c r="X36" s="19">
        <f>COUNTIF(C36,"A")+COUNTIF(E36,"A")+COUNTIF(G36,"A")+COUNTIF(I36,"A")+COUNTIF(K36,"A")+COUNTIF(M36,"A")+COUNTIF(O36,"A")+COUNTIF(Q36,"A")+COUNTIF(S36,"A")+COUNTIF(U36,"A")</f>
        <v/>
      </c>
      <c r="Y36" s="19" t="n"/>
      <c r="Z36" s="19">
        <f>IF(Y36="","",Y36-V36)</f>
        <v/>
      </c>
      <c r="AA36" s="21">
        <f>IF(OR(Y36="",Y36=0),"",V36/Y36)</f>
        <v/>
      </c>
      <c r="AB36" s="22">
        <f>IF(OR(Y36="",Y36=0),"",IF((10-W36-X36)&lt;=0,"N/A",Z36/(10-W36-X36)))</f>
        <v/>
      </c>
      <c r="AC36" s="19">
        <f>IF(W36=0,"",ROUND((V36/W36)*10,0))</f>
        <v/>
      </c>
    </row>
    <row r="37">
      <c r="A37" s="18" t="inlineStr">
        <is>
          <t>John Joby</t>
        </is>
      </c>
      <c r="B37" s="19" t="n"/>
      <c r="C37" s="6" t="n"/>
      <c r="D37" s="19" t="n"/>
      <c r="E37" s="6" t="n"/>
      <c r="F37" s="19" t="n"/>
      <c r="G37" s="6" t="n"/>
      <c r="H37" s="19" t="n"/>
      <c r="I37" s="6" t="n"/>
      <c r="J37" s="19" t="n"/>
      <c r="K37" s="6" t="n"/>
      <c r="L37" s="19" t="n"/>
      <c r="M37" s="6" t="n"/>
      <c r="N37" s="19" t="n"/>
      <c r="O37" s="6" t="n"/>
      <c r="P37" s="19" t="n"/>
      <c r="Q37" s="6" t="n"/>
      <c r="R37" s="19" t="n"/>
      <c r="S37" s="6" t="n"/>
      <c r="T37" s="19" t="n"/>
      <c r="U37" s="6" t="n"/>
      <c r="V37" s="20">
        <f>SUM(B37,D37,F37,H37,J37,L37,N37,P37,R37,T37)</f>
        <v/>
      </c>
      <c r="W37" s="19">
        <f>COUNTIF(C37,"P")+COUNTIF(E37,"P")+COUNTIF(G37,"P")+COUNTIF(I37,"P")+COUNTIF(K37,"P")+COUNTIF(M37,"P")+COUNTIF(O37,"P")+COUNTIF(Q37,"P")+COUNTIF(S37,"P")+COUNTIF(U37,"P")</f>
        <v/>
      </c>
      <c r="X37" s="19">
        <f>COUNTIF(C37,"A")+COUNTIF(E37,"A")+COUNTIF(G37,"A")+COUNTIF(I37,"A")+COUNTIF(K37,"A")+COUNTIF(M37,"A")+COUNTIF(O37,"A")+COUNTIF(Q37,"A")+COUNTIF(S37,"A")+COUNTIF(U37,"A")</f>
        <v/>
      </c>
      <c r="Y37" s="19" t="n"/>
      <c r="Z37" s="19">
        <f>IF(Y37="","",Y37-V37)</f>
        <v/>
      </c>
      <c r="AA37" s="21">
        <f>IF(OR(Y37="",Y37=0),"",V37/Y37)</f>
        <v/>
      </c>
      <c r="AB37" s="22">
        <f>IF(OR(Y37="",Y37=0),"",IF((10-W37-X37)&lt;=0,"N/A",Z37/(10-W37-X37)))</f>
        <v/>
      </c>
      <c r="AC37" s="19">
        <f>IF(W37=0,"",ROUND((V37/W37)*10,0))</f>
        <v/>
      </c>
    </row>
    <row r="38">
      <c r="A38" s="18" t="inlineStr">
        <is>
          <t>Jason Bean</t>
        </is>
      </c>
      <c r="B38" s="19" t="n"/>
      <c r="C38" s="6" t="n"/>
      <c r="D38" s="19" t="n"/>
      <c r="E38" s="6" t="n"/>
      <c r="F38" s="19" t="n"/>
      <c r="G38" s="6" t="n"/>
      <c r="H38" s="19" t="n"/>
      <c r="I38" s="6" t="n"/>
      <c r="J38" s="19" t="n"/>
      <c r="K38" s="6" t="n"/>
      <c r="L38" s="19" t="n"/>
      <c r="M38" s="6" t="n"/>
      <c r="N38" s="19" t="n"/>
      <c r="O38" s="6" t="n"/>
      <c r="P38" s="19" t="n"/>
      <c r="Q38" s="6" t="n"/>
      <c r="R38" s="19" t="n"/>
      <c r="S38" s="6" t="n"/>
      <c r="T38" s="19" t="n"/>
      <c r="U38" s="6" t="n"/>
      <c r="V38" s="20">
        <f>SUM(B38,D38,F38,H38,J38,L38,N38,P38,R38,T38)</f>
        <v/>
      </c>
      <c r="W38" s="19">
        <f>COUNTIF(C38,"P")+COUNTIF(E38,"P")+COUNTIF(G38,"P")+COUNTIF(I38,"P")+COUNTIF(K38,"P")+COUNTIF(M38,"P")+COUNTIF(O38,"P")+COUNTIF(Q38,"P")+COUNTIF(S38,"P")+COUNTIF(U38,"P")</f>
        <v/>
      </c>
      <c r="X38" s="19">
        <f>COUNTIF(C38,"A")+COUNTIF(E38,"A")+COUNTIF(G38,"A")+COUNTIF(I38,"A")+COUNTIF(K38,"A")+COUNTIF(M38,"A")+COUNTIF(O38,"A")+COUNTIF(Q38,"A")+COUNTIF(S38,"A")+COUNTIF(U38,"A")</f>
        <v/>
      </c>
      <c r="Y38" s="19" t="n"/>
      <c r="Z38" s="19">
        <f>IF(Y38="","",Y38-V38)</f>
        <v/>
      </c>
      <c r="AA38" s="21">
        <f>IF(OR(Y38="",Y38=0),"",V38/Y38)</f>
        <v/>
      </c>
      <c r="AB38" s="22">
        <f>IF(OR(Y38="",Y38=0),"",IF((10-W38-X38)&lt;=0,"N/A",Z38/(10-W38-X38)))</f>
        <v/>
      </c>
      <c r="AC38" s="19">
        <f>IF(W38=0,"",ROUND((V38/W38)*10,0))</f>
        <v/>
      </c>
    </row>
    <row r="41">
      <c r="A41" s="16" t="inlineStr">
        <is>
          <t>Q3 — Quarter 3</t>
        </is>
      </c>
    </row>
    <row r="42">
      <c r="A42" s="17" t="inlineStr">
        <is>
          <t>Student Name</t>
        </is>
      </c>
      <c r="B42" s="17" t="inlineStr">
        <is>
          <t>Sess 1</t>
        </is>
      </c>
      <c r="C42" s="17" t="inlineStr">
        <is>
          <t>Att 1</t>
        </is>
      </c>
      <c r="D42" s="17" t="inlineStr">
        <is>
          <t>Sess 2</t>
        </is>
      </c>
      <c r="E42" s="17" t="inlineStr">
        <is>
          <t>Att 2</t>
        </is>
      </c>
      <c r="F42" s="17" t="inlineStr">
        <is>
          <t>Sess 3</t>
        </is>
      </c>
      <c r="G42" s="17" t="inlineStr">
        <is>
          <t>Att 3</t>
        </is>
      </c>
      <c r="H42" s="17" t="inlineStr">
        <is>
          <t>Sess 4</t>
        </is>
      </c>
      <c r="I42" s="17" t="inlineStr">
        <is>
          <t>Att 4</t>
        </is>
      </c>
      <c r="J42" s="17" t="inlineStr">
        <is>
          <t>Sess 5</t>
        </is>
      </c>
      <c r="K42" s="17" t="inlineStr">
        <is>
          <t>Att 5</t>
        </is>
      </c>
      <c r="L42" s="17" t="inlineStr">
        <is>
          <t>Sess 6</t>
        </is>
      </c>
      <c r="M42" s="17" t="inlineStr">
        <is>
          <t>Att 6</t>
        </is>
      </c>
      <c r="N42" s="17" t="inlineStr">
        <is>
          <t>Sess 7</t>
        </is>
      </c>
      <c r="O42" s="17" t="inlineStr">
        <is>
          <t>Att 7</t>
        </is>
      </c>
      <c r="P42" s="17" t="inlineStr">
        <is>
          <t>Sess 8</t>
        </is>
      </c>
      <c r="Q42" s="17" t="inlineStr">
        <is>
          <t>Att 8</t>
        </is>
      </c>
      <c r="R42" s="17" t="inlineStr">
        <is>
          <t>Sess 9</t>
        </is>
      </c>
      <c r="S42" s="17" t="inlineStr">
        <is>
          <t>Att 9</t>
        </is>
      </c>
      <c r="T42" s="17" t="inlineStr">
        <is>
          <t>Sess 10</t>
        </is>
      </c>
      <c r="U42" s="17" t="inlineStr">
        <is>
          <t>Att 10</t>
        </is>
      </c>
      <c r="V42" s="17" t="inlineStr">
        <is>
          <t>Min Met</t>
        </is>
      </c>
      <c r="W42" s="17" t="inlineStr">
        <is>
          <t>Sess Att</t>
        </is>
      </c>
      <c r="X42" s="17" t="inlineStr">
        <is>
          <t>Absences</t>
        </is>
      </c>
      <c r="Y42" s="17" t="inlineStr">
        <is>
          <t>IEP Req</t>
        </is>
      </c>
      <c r="Z42" s="17" t="inlineStr">
        <is>
          <t>Min Remain</t>
        </is>
      </c>
      <c r="AA42" s="17" t="inlineStr">
        <is>
          <t>% Complete</t>
        </is>
      </c>
      <c r="AB42" s="17" t="inlineStr">
        <is>
          <t>Pace Needed</t>
        </is>
      </c>
      <c r="AC42" s="17" t="inlineStr">
        <is>
          <t>Projected</t>
        </is>
      </c>
    </row>
    <row r="43">
      <c r="A43" s="18" t="inlineStr">
        <is>
          <t>Raya Hightower</t>
        </is>
      </c>
      <c r="B43" s="19" t="n"/>
      <c r="C43" s="6" t="n"/>
      <c r="D43" s="19" t="n"/>
      <c r="E43" s="6" t="n"/>
      <c r="F43" s="19" t="n"/>
      <c r="G43" s="6" t="n"/>
      <c r="H43" s="19" t="n"/>
      <c r="I43" s="6" t="n"/>
      <c r="J43" s="19" t="n"/>
      <c r="K43" s="6" t="n"/>
      <c r="L43" s="19" t="n"/>
      <c r="M43" s="6" t="n"/>
      <c r="N43" s="19" t="n"/>
      <c r="O43" s="6" t="n"/>
      <c r="P43" s="19" t="n"/>
      <c r="Q43" s="6" t="n"/>
      <c r="R43" s="19" t="n"/>
      <c r="S43" s="6" t="n"/>
      <c r="T43" s="19" t="n"/>
      <c r="U43" s="6" t="n"/>
      <c r="V43" s="20">
        <f>SUM(B43,D43,F43,H43,J43,L43,N43,P43,R43,T43)</f>
        <v/>
      </c>
      <c r="W43" s="19">
        <f>COUNTIF(C43,"P")+COUNTIF(E43,"P")+COUNTIF(G43,"P")+COUNTIF(I43,"P")+COUNTIF(K43,"P")+COUNTIF(M43,"P")+COUNTIF(O43,"P")+COUNTIF(Q43,"P")+COUNTIF(S43,"P")+COUNTIF(U43,"P")</f>
        <v/>
      </c>
      <c r="X43" s="19">
        <f>COUNTIF(C43,"A")+COUNTIF(E43,"A")+COUNTIF(G43,"A")+COUNTIF(I43,"A")+COUNTIF(K43,"A")+COUNTIF(M43,"A")+COUNTIF(O43,"A")+COUNTIF(Q43,"A")+COUNTIF(S43,"A")+COUNTIF(U43,"A")</f>
        <v/>
      </c>
      <c r="Y43" s="19" t="n"/>
      <c r="Z43" s="19">
        <f>IF(Y43="","",Y43-V43)</f>
        <v/>
      </c>
      <c r="AA43" s="21">
        <f>IF(OR(Y43="",Y43=0),"",V43/Y43)</f>
        <v/>
      </c>
      <c r="AB43" s="22">
        <f>IF(OR(Y43="",Y43=0),"",IF((10-W43-X43)&lt;=0,"N/A",Z43/(10-W43-X43)))</f>
        <v/>
      </c>
      <c r="AC43" s="19">
        <f>IF(W43=0,"",ROUND((V43/W43)*10,0))</f>
        <v/>
      </c>
    </row>
    <row r="44">
      <c r="A44" s="18" t="inlineStr">
        <is>
          <t>Anu Vijay Anand</t>
        </is>
      </c>
      <c r="B44" s="19" t="n"/>
      <c r="C44" s="6" t="n"/>
      <c r="D44" s="19" t="n"/>
      <c r="E44" s="6" t="n"/>
      <c r="F44" s="19" t="n"/>
      <c r="G44" s="6" t="n"/>
      <c r="H44" s="19" t="n"/>
      <c r="I44" s="6" t="n"/>
      <c r="J44" s="19" t="n"/>
      <c r="K44" s="6" t="n"/>
      <c r="L44" s="19" t="n"/>
      <c r="M44" s="6" t="n"/>
      <c r="N44" s="19" t="n"/>
      <c r="O44" s="6" t="n"/>
      <c r="P44" s="19" t="n"/>
      <c r="Q44" s="6" t="n"/>
      <c r="R44" s="19" t="n"/>
      <c r="S44" s="6" t="n"/>
      <c r="T44" s="19" t="n"/>
      <c r="U44" s="6" t="n"/>
      <c r="V44" s="20">
        <f>SUM(B44,D44,F44,H44,J44,L44,N44,P44,R44,T44)</f>
        <v/>
      </c>
      <c r="W44" s="19">
        <f>COUNTIF(C44,"P")+COUNTIF(E44,"P")+COUNTIF(G44,"P")+COUNTIF(I44,"P")+COUNTIF(K44,"P")+COUNTIF(M44,"P")+COUNTIF(O44,"P")+COUNTIF(Q44,"P")+COUNTIF(S44,"P")+COUNTIF(U44,"P")</f>
        <v/>
      </c>
      <c r="X44" s="19">
        <f>COUNTIF(C44,"A")+COUNTIF(E44,"A")+COUNTIF(G44,"A")+COUNTIF(I44,"A")+COUNTIF(K44,"A")+COUNTIF(M44,"A")+COUNTIF(O44,"A")+COUNTIF(Q44,"A")+COUNTIF(S44,"A")+COUNTIF(U44,"A")</f>
        <v/>
      </c>
      <c r="Y44" s="19" t="n"/>
      <c r="Z44" s="19">
        <f>IF(Y44="","",Y44-V44)</f>
        <v/>
      </c>
      <c r="AA44" s="21">
        <f>IF(OR(Y44="",Y44=0),"",V44/Y44)</f>
        <v/>
      </c>
      <c r="AB44" s="22">
        <f>IF(OR(Y44="",Y44=0),"",IF((10-W44-X44)&lt;=0,"N/A",Z44/(10-W44-X44)))</f>
        <v/>
      </c>
      <c r="AC44" s="19">
        <f>IF(W44=0,"",ROUND((V44/W44)*10,0))</f>
        <v/>
      </c>
    </row>
    <row r="45">
      <c r="A45" s="18" t="inlineStr">
        <is>
          <t>Aadhya Gone</t>
        </is>
      </c>
      <c r="B45" s="19" t="n"/>
      <c r="C45" s="6" t="n"/>
      <c r="D45" s="19" t="n"/>
      <c r="E45" s="6" t="n"/>
      <c r="F45" s="19" t="n"/>
      <c r="G45" s="6" t="n"/>
      <c r="H45" s="19" t="n"/>
      <c r="I45" s="6" t="n"/>
      <c r="J45" s="19" t="n"/>
      <c r="K45" s="6" t="n"/>
      <c r="L45" s="19" t="n"/>
      <c r="M45" s="6" t="n"/>
      <c r="N45" s="19" t="n"/>
      <c r="O45" s="6" t="n"/>
      <c r="P45" s="19" t="n"/>
      <c r="Q45" s="6" t="n"/>
      <c r="R45" s="19" t="n"/>
      <c r="S45" s="6" t="n"/>
      <c r="T45" s="19" t="n"/>
      <c r="U45" s="6" t="n"/>
      <c r="V45" s="20">
        <f>SUM(B45,D45,F45,H45,J45,L45,N45,P45,R45,T45)</f>
        <v/>
      </c>
      <c r="W45" s="19">
        <f>COUNTIF(C45,"P")+COUNTIF(E45,"P")+COUNTIF(G45,"P")+COUNTIF(I45,"P")+COUNTIF(K45,"P")+COUNTIF(M45,"P")+COUNTIF(O45,"P")+COUNTIF(Q45,"P")+COUNTIF(S45,"P")+COUNTIF(U45,"P")</f>
        <v/>
      </c>
      <c r="X45" s="19">
        <f>COUNTIF(C45,"A")+COUNTIF(E45,"A")+COUNTIF(G45,"A")+COUNTIF(I45,"A")+COUNTIF(K45,"A")+COUNTIF(M45,"A")+COUNTIF(O45,"A")+COUNTIF(Q45,"A")+COUNTIF(S45,"A")+COUNTIF(U45,"A")</f>
        <v/>
      </c>
      <c r="Y45" s="19" t="n"/>
      <c r="Z45" s="19">
        <f>IF(Y45="","",Y45-V45)</f>
        <v/>
      </c>
      <c r="AA45" s="21">
        <f>IF(OR(Y45="",Y45=0),"",V45/Y45)</f>
        <v/>
      </c>
      <c r="AB45" s="22">
        <f>IF(OR(Y45="",Y45=0),"",IF((10-W45-X45)&lt;=0,"N/A",Z45/(10-W45-X45)))</f>
        <v/>
      </c>
      <c r="AC45" s="19">
        <f>IF(W45=0,"",ROUND((V45/W45)*10,0))</f>
        <v/>
      </c>
    </row>
    <row r="46">
      <c r="A46" s="18" t="inlineStr">
        <is>
          <t>Sumeyah Khan</t>
        </is>
      </c>
      <c r="B46" s="19" t="n"/>
      <c r="C46" s="6" t="n"/>
      <c r="D46" s="19" t="n"/>
      <c r="E46" s="6" t="n"/>
      <c r="F46" s="19" t="n"/>
      <c r="G46" s="6" t="n"/>
      <c r="H46" s="19" t="n"/>
      <c r="I46" s="6" t="n"/>
      <c r="J46" s="19" t="n"/>
      <c r="K46" s="6" t="n"/>
      <c r="L46" s="19" t="n"/>
      <c r="M46" s="6" t="n"/>
      <c r="N46" s="19" t="n"/>
      <c r="O46" s="6" t="n"/>
      <c r="P46" s="19" t="n"/>
      <c r="Q46" s="6" t="n"/>
      <c r="R46" s="19" t="n"/>
      <c r="S46" s="6" t="n"/>
      <c r="T46" s="19" t="n"/>
      <c r="U46" s="6" t="n"/>
      <c r="V46" s="20">
        <f>SUM(B46,D46,F46,H46,J46,L46,N46,P46,R46,T46)</f>
        <v/>
      </c>
      <c r="W46" s="19">
        <f>COUNTIF(C46,"P")+COUNTIF(E46,"P")+COUNTIF(G46,"P")+COUNTIF(I46,"P")+COUNTIF(K46,"P")+COUNTIF(M46,"P")+COUNTIF(O46,"P")+COUNTIF(Q46,"P")+COUNTIF(S46,"P")+COUNTIF(U46,"P")</f>
        <v/>
      </c>
      <c r="X46" s="19">
        <f>COUNTIF(C46,"A")+COUNTIF(E46,"A")+COUNTIF(G46,"A")+COUNTIF(I46,"A")+COUNTIF(K46,"A")+COUNTIF(M46,"A")+COUNTIF(O46,"A")+COUNTIF(Q46,"A")+COUNTIF(S46,"A")+COUNTIF(U46,"A")</f>
        <v/>
      </c>
      <c r="Y46" s="19" t="n"/>
      <c r="Z46" s="19">
        <f>IF(Y46="","",Y46-V46)</f>
        <v/>
      </c>
      <c r="AA46" s="21">
        <f>IF(OR(Y46="",Y46=0),"",V46/Y46)</f>
        <v/>
      </c>
      <c r="AB46" s="22">
        <f>IF(OR(Y46="",Y46=0),"",IF((10-W46-X46)&lt;=0,"N/A",Z46/(10-W46-X46)))</f>
        <v/>
      </c>
      <c r="AC46" s="19">
        <f>IF(W46=0,"",ROUND((V46/W46)*10,0))</f>
        <v/>
      </c>
    </row>
    <row r="47">
      <c r="A47" s="18" t="inlineStr">
        <is>
          <t>Maria Mujeeb</t>
        </is>
      </c>
      <c r="B47" s="19" t="n"/>
      <c r="C47" s="6" t="n"/>
      <c r="D47" s="19" t="n"/>
      <c r="E47" s="6" t="n"/>
      <c r="F47" s="19" t="n"/>
      <c r="G47" s="6" t="n"/>
      <c r="H47" s="19" t="n"/>
      <c r="I47" s="6" t="n"/>
      <c r="J47" s="19" t="n"/>
      <c r="K47" s="6" t="n"/>
      <c r="L47" s="19" t="n"/>
      <c r="M47" s="6" t="n"/>
      <c r="N47" s="19" t="n"/>
      <c r="O47" s="6" t="n"/>
      <c r="P47" s="19" t="n"/>
      <c r="Q47" s="6" t="n"/>
      <c r="R47" s="19" t="n"/>
      <c r="S47" s="6" t="n"/>
      <c r="T47" s="19" t="n"/>
      <c r="U47" s="6" t="n"/>
      <c r="V47" s="20">
        <f>SUM(B47,D47,F47,H47,J47,L47,N47,P47,R47,T47)</f>
        <v/>
      </c>
      <c r="W47" s="19">
        <f>COUNTIF(C47,"P")+COUNTIF(E47,"P")+COUNTIF(G47,"P")+COUNTIF(I47,"P")+COUNTIF(K47,"P")+COUNTIF(M47,"P")+COUNTIF(O47,"P")+COUNTIF(Q47,"P")+COUNTIF(S47,"P")+COUNTIF(U47,"P")</f>
        <v/>
      </c>
      <c r="X47" s="19">
        <f>COUNTIF(C47,"A")+COUNTIF(E47,"A")+COUNTIF(G47,"A")+COUNTIF(I47,"A")+COUNTIF(K47,"A")+COUNTIF(M47,"A")+COUNTIF(O47,"A")+COUNTIF(Q47,"A")+COUNTIF(S47,"A")+COUNTIF(U47,"A")</f>
        <v/>
      </c>
      <c r="Y47" s="19" t="n"/>
      <c r="Z47" s="19">
        <f>IF(Y47="","",Y47-V47)</f>
        <v/>
      </c>
      <c r="AA47" s="21">
        <f>IF(OR(Y47="",Y47=0),"",V47/Y47)</f>
        <v/>
      </c>
      <c r="AB47" s="22">
        <f>IF(OR(Y47="",Y47=0),"",IF((10-W47-X47)&lt;=0,"N/A",Z47/(10-W47-X47)))</f>
        <v/>
      </c>
      <c r="AC47" s="19">
        <f>IF(W47=0,"",ROUND((V47/W47)*10,0))</f>
        <v/>
      </c>
    </row>
    <row r="48">
      <c r="A48" s="18" t="inlineStr">
        <is>
          <t>Jace Ratliff</t>
        </is>
      </c>
      <c r="B48" s="19" t="n"/>
      <c r="C48" s="6" t="n"/>
      <c r="D48" s="19" t="n"/>
      <c r="E48" s="6" t="n"/>
      <c r="F48" s="19" t="n"/>
      <c r="G48" s="6" t="n"/>
      <c r="H48" s="19" t="n"/>
      <c r="I48" s="6" t="n"/>
      <c r="J48" s="19" t="n"/>
      <c r="K48" s="6" t="n"/>
      <c r="L48" s="19" t="n"/>
      <c r="M48" s="6" t="n"/>
      <c r="N48" s="19" t="n"/>
      <c r="O48" s="6" t="n"/>
      <c r="P48" s="19" t="n"/>
      <c r="Q48" s="6" t="n"/>
      <c r="R48" s="19" t="n"/>
      <c r="S48" s="6" t="n"/>
      <c r="T48" s="19" t="n"/>
      <c r="U48" s="6" t="n"/>
      <c r="V48" s="20">
        <f>SUM(B48,D48,F48,H48,J48,L48,N48,P48,R48,T48)</f>
        <v/>
      </c>
      <c r="W48" s="19">
        <f>COUNTIF(C48,"P")+COUNTIF(E48,"P")+COUNTIF(G48,"P")+COUNTIF(I48,"P")+COUNTIF(K48,"P")+COUNTIF(M48,"P")+COUNTIF(O48,"P")+COUNTIF(Q48,"P")+COUNTIF(S48,"P")+COUNTIF(U48,"P")</f>
        <v/>
      </c>
      <c r="X48" s="19">
        <f>COUNTIF(C48,"A")+COUNTIF(E48,"A")+COUNTIF(G48,"A")+COUNTIF(I48,"A")+COUNTIF(K48,"A")+COUNTIF(M48,"A")+COUNTIF(O48,"A")+COUNTIF(Q48,"A")+COUNTIF(S48,"A")+COUNTIF(U48,"A")</f>
        <v/>
      </c>
      <c r="Y48" s="19" t="n"/>
      <c r="Z48" s="19">
        <f>IF(Y48="","",Y48-V48)</f>
        <v/>
      </c>
      <c r="AA48" s="21">
        <f>IF(OR(Y48="",Y48=0),"",V48/Y48)</f>
        <v/>
      </c>
      <c r="AB48" s="22">
        <f>IF(OR(Y48="",Y48=0),"",IF((10-W48-X48)&lt;=0,"N/A",Z48/(10-W48-X48)))</f>
        <v/>
      </c>
      <c r="AC48" s="19">
        <f>IF(W48=0,"",ROUND((V48/W48)*10,0))</f>
        <v/>
      </c>
    </row>
    <row r="49">
      <c r="A49" s="18" t="inlineStr">
        <is>
          <t>Evan Allen</t>
        </is>
      </c>
      <c r="B49" s="19" t="n"/>
      <c r="C49" s="6" t="n"/>
      <c r="D49" s="19" t="n"/>
      <c r="E49" s="6" t="n"/>
      <c r="F49" s="19" t="n"/>
      <c r="G49" s="6" t="n"/>
      <c r="H49" s="19" t="n"/>
      <c r="I49" s="6" t="n"/>
      <c r="J49" s="19" t="n"/>
      <c r="K49" s="6" t="n"/>
      <c r="L49" s="19" t="n"/>
      <c r="M49" s="6" t="n"/>
      <c r="N49" s="19" t="n"/>
      <c r="O49" s="6" t="n"/>
      <c r="P49" s="19" t="n"/>
      <c r="Q49" s="6" t="n"/>
      <c r="R49" s="19" t="n"/>
      <c r="S49" s="6" t="n"/>
      <c r="T49" s="19" t="n"/>
      <c r="U49" s="6" t="n"/>
      <c r="V49" s="20">
        <f>SUM(B49,D49,F49,H49,J49,L49,N49,P49,R49,T49)</f>
        <v/>
      </c>
      <c r="W49" s="19">
        <f>COUNTIF(C49,"P")+COUNTIF(E49,"P")+COUNTIF(G49,"P")+COUNTIF(I49,"P")+COUNTIF(K49,"P")+COUNTIF(M49,"P")+COUNTIF(O49,"P")+COUNTIF(Q49,"P")+COUNTIF(S49,"P")+COUNTIF(U49,"P")</f>
        <v/>
      </c>
      <c r="X49" s="19">
        <f>COUNTIF(C49,"A")+COUNTIF(E49,"A")+COUNTIF(G49,"A")+COUNTIF(I49,"A")+COUNTIF(K49,"A")+COUNTIF(M49,"A")+COUNTIF(O49,"A")+COUNTIF(Q49,"A")+COUNTIF(S49,"A")+COUNTIF(U49,"A")</f>
        <v/>
      </c>
      <c r="Y49" s="19" t="n"/>
      <c r="Z49" s="19">
        <f>IF(Y49="","",Y49-V49)</f>
        <v/>
      </c>
      <c r="AA49" s="21">
        <f>IF(OR(Y49="",Y49=0),"",V49/Y49)</f>
        <v/>
      </c>
      <c r="AB49" s="22">
        <f>IF(OR(Y49="",Y49=0),"",IF((10-W49-X49)&lt;=0,"N/A",Z49/(10-W49-X49)))</f>
        <v/>
      </c>
      <c r="AC49" s="19">
        <f>IF(W49=0,"",ROUND((V49/W49)*10,0))</f>
        <v/>
      </c>
    </row>
    <row r="50">
      <c r="A50" s="18" t="inlineStr">
        <is>
          <t>Sai Neelagiri</t>
        </is>
      </c>
      <c r="B50" s="19" t="n"/>
      <c r="C50" s="6" t="n"/>
      <c r="D50" s="19" t="n"/>
      <c r="E50" s="6" t="n"/>
      <c r="F50" s="19" t="n"/>
      <c r="G50" s="6" t="n"/>
      <c r="H50" s="19" t="n"/>
      <c r="I50" s="6" t="n"/>
      <c r="J50" s="19" t="n"/>
      <c r="K50" s="6" t="n"/>
      <c r="L50" s="19" t="n"/>
      <c r="M50" s="6" t="n"/>
      <c r="N50" s="19" t="n"/>
      <c r="O50" s="6" t="n"/>
      <c r="P50" s="19" t="n"/>
      <c r="Q50" s="6" t="n"/>
      <c r="R50" s="19" t="n"/>
      <c r="S50" s="6" t="n"/>
      <c r="T50" s="19" t="n"/>
      <c r="U50" s="6" t="n"/>
      <c r="V50" s="20">
        <f>SUM(B50,D50,F50,H50,J50,L50,N50,P50,R50,T50)</f>
        <v/>
      </c>
      <c r="W50" s="19">
        <f>COUNTIF(C50,"P")+COUNTIF(E50,"P")+COUNTIF(G50,"P")+COUNTIF(I50,"P")+COUNTIF(K50,"P")+COUNTIF(M50,"P")+COUNTIF(O50,"P")+COUNTIF(Q50,"P")+COUNTIF(S50,"P")+COUNTIF(U50,"P")</f>
        <v/>
      </c>
      <c r="X50" s="19">
        <f>COUNTIF(C50,"A")+COUNTIF(E50,"A")+COUNTIF(G50,"A")+COUNTIF(I50,"A")+COUNTIF(K50,"A")+COUNTIF(M50,"A")+COUNTIF(O50,"A")+COUNTIF(Q50,"A")+COUNTIF(S50,"A")+COUNTIF(U50,"A")</f>
        <v/>
      </c>
      <c r="Y50" s="19" t="n"/>
      <c r="Z50" s="19">
        <f>IF(Y50="","",Y50-V50)</f>
        <v/>
      </c>
      <c r="AA50" s="21">
        <f>IF(OR(Y50="",Y50=0),"",V50/Y50)</f>
        <v/>
      </c>
      <c r="AB50" s="22">
        <f>IF(OR(Y50="",Y50=0),"",IF((10-W50-X50)&lt;=0,"N/A",Z50/(10-W50-X50)))</f>
        <v/>
      </c>
      <c r="AC50" s="19">
        <f>IF(W50=0,"",ROUND((V50/W50)*10,0))</f>
        <v/>
      </c>
    </row>
    <row r="51">
      <c r="A51" s="18" t="inlineStr">
        <is>
          <t>Fletcher Meese</t>
        </is>
      </c>
      <c r="B51" s="19" t="n"/>
      <c r="C51" s="6" t="n"/>
      <c r="D51" s="19" t="n"/>
      <c r="E51" s="6" t="n"/>
      <c r="F51" s="19" t="n"/>
      <c r="G51" s="6" t="n"/>
      <c r="H51" s="19" t="n"/>
      <c r="I51" s="6" t="n"/>
      <c r="J51" s="19" t="n"/>
      <c r="K51" s="6" t="n"/>
      <c r="L51" s="19" t="n"/>
      <c r="M51" s="6" t="n"/>
      <c r="N51" s="19" t="n"/>
      <c r="O51" s="6" t="n"/>
      <c r="P51" s="19" t="n"/>
      <c r="Q51" s="6" t="n"/>
      <c r="R51" s="19" t="n"/>
      <c r="S51" s="6" t="n"/>
      <c r="T51" s="19" t="n"/>
      <c r="U51" s="6" t="n"/>
      <c r="V51" s="20">
        <f>SUM(B51,D51,F51,H51,J51,L51,N51,P51,R51,T51)</f>
        <v/>
      </c>
      <c r="W51" s="19">
        <f>COUNTIF(C51,"P")+COUNTIF(E51,"P")+COUNTIF(G51,"P")+COUNTIF(I51,"P")+COUNTIF(K51,"P")+COUNTIF(M51,"P")+COUNTIF(O51,"P")+COUNTIF(Q51,"P")+COUNTIF(S51,"P")+COUNTIF(U51,"P")</f>
        <v/>
      </c>
      <c r="X51" s="19">
        <f>COUNTIF(C51,"A")+COUNTIF(E51,"A")+COUNTIF(G51,"A")+COUNTIF(I51,"A")+COUNTIF(K51,"A")+COUNTIF(M51,"A")+COUNTIF(O51,"A")+COUNTIF(Q51,"A")+COUNTIF(S51,"A")+COUNTIF(U51,"A")</f>
        <v/>
      </c>
      <c r="Y51" s="19" t="n"/>
      <c r="Z51" s="19">
        <f>IF(Y51="","",Y51-V51)</f>
        <v/>
      </c>
      <c r="AA51" s="21">
        <f>IF(OR(Y51="",Y51=0),"",V51/Y51)</f>
        <v/>
      </c>
      <c r="AB51" s="22">
        <f>IF(OR(Y51="",Y51=0),"",IF((10-W51-X51)&lt;=0,"N/A",Z51/(10-W51-X51)))</f>
        <v/>
      </c>
      <c r="AC51" s="19">
        <f>IF(W51=0,"",ROUND((V51/W51)*10,0))</f>
        <v/>
      </c>
    </row>
    <row r="52">
      <c r="A52" s="18" t="inlineStr">
        <is>
          <t>Elijah Aldaco</t>
        </is>
      </c>
      <c r="B52" s="19" t="n"/>
      <c r="C52" s="6" t="n"/>
      <c r="D52" s="19" t="n"/>
      <c r="E52" s="6" t="n"/>
      <c r="F52" s="19" t="n"/>
      <c r="G52" s="6" t="n"/>
      <c r="H52" s="19" t="n"/>
      <c r="I52" s="6" t="n"/>
      <c r="J52" s="19" t="n"/>
      <c r="K52" s="6" t="n"/>
      <c r="L52" s="19" t="n"/>
      <c r="M52" s="6" t="n"/>
      <c r="N52" s="19" t="n"/>
      <c r="O52" s="6" t="n"/>
      <c r="P52" s="19" t="n"/>
      <c r="Q52" s="6" t="n"/>
      <c r="R52" s="19" t="n"/>
      <c r="S52" s="6" t="n"/>
      <c r="T52" s="19" t="n"/>
      <c r="U52" s="6" t="n"/>
      <c r="V52" s="20">
        <f>SUM(B52,D52,F52,H52,J52,L52,N52,P52,R52,T52)</f>
        <v/>
      </c>
      <c r="W52" s="19">
        <f>COUNTIF(C52,"P")+COUNTIF(E52,"P")+COUNTIF(G52,"P")+COUNTIF(I52,"P")+COUNTIF(K52,"P")+COUNTIF(M52,"P")+COUNTIF(O52,"P")+COUNTIF(Q52,"P")+COUNTIF(S52,"P")+COUNTIF(U52,"P")</f>
        <v/>
      </c>
      <c r="X52" s="19">
        <f>COUNTIF(C52,"A")+COUNTIF(E52,"A")+COUNTIF(G52,"A")+COUNTIF(I52,"A")+COUNTIF(K52,"A")+COUNTIF(M52,"A")+COUNTIF(O52,"A")+COUNTIF(Q52,"A")+COUNTIF(S52,"A")+COUNTIF(U52,"A")</f>
        <v/>
      </c>
      <c r="Y52" s="19" t="n"/>
      <c r="Z52" s="19">
        <f>IF(Y52="","",Y52-V52)</f>
        <v/>
      </c>
      <c r="AA52" s="21">
        <f>IF(OR(Y52="",Y52=0),"",V52/Y52)</f>
        <v/>
      </c>
      <c r="AB52" s="22">
        <f>IF(OR(Y52="",Y52=0),"",IF((10-W52-X52)&lt;=0,"N/A",Z52/(10-W52-X52)))</f>
        <v/>
      </c>
      <c r="AC52" s="19">
        <f>IF(W52=0,"",ROUND((V52/W52)*10,0))</f>
        <v/>
      </c>
    </row>
    <row r="53">
      <c r="A53" s="18" t="inlineStr">
        <is>
          <t>Cain Gutierrez</t>
        </is>
      </c>
      <c r="B53" s="19" t="n"/>
      <c r="C53" s="6" t="n"/>
      <c r="D53" s="19" t="n"/>
      <c r="E53" s="6" t="n"/>
      <c r="F53" s="19" t="n"/>
      <c r="G53" s="6" t="n"/>
      <c r="H53" s="19" t="n"/>
      <c r="I53" s="6" t="n"/>
      <c r="J53" s="19" t="n"/>
      <c r="K53" s="6" t="n"/>
      <c r="L53" s="19" t="n"/>
      <c r="M53" s="6" t="n"/>
      <c r="N53" s="19" t="n"/>
      <c r="O53" s="6" t="n"/>
      <c r="P53" s="19" t="n"/>
      <c r="Q53" s="6" t="n"/>
      <c r="R53" s="19" t="n"/>
      <c r="S53" s="6" t="n"/>
      <c r="T53" s="19" t="n"/>
      <c r="U53" s="6" t="n"/>
      <c r="V53" s="20">
        <f>SUM(B53,D53,F53,H53,J53,L53,N53,P53,R53,T53)</f>
        <v/>
      </c>
      <c r="W53" s="19">
        <f>COUNTIF(C53,"P")+COUNTIF(E53,"P")+COUNTIF(G53,"P")+COUNTIF(I53,"P")+COUNTIF(K53,"P")+COUNTIF(M53,"P")+COUNTIF(O53,"P")+COUNTIF(Q53,"P")+COUNTIF(S53,"P")+COUNTIF(U53,"P")</f>
        <v/>
      </c>
      <c r="X53" s="19">
        <f>COUNTIF(C53,"A")+COUNTIF(E53,"A")+COUNTIF(G53,"A")+COUNTIF(I53,"A")+COUNTIF(K53,"A")+COUNTIF(M53,"A")+COUNTIF(O53,"A")+COUNTIF(Q53,"A")+COUNTIF(S53,"A")+COUNTIF(U53,"A")</f>
        <v/>
      </c>
      <c r="Y53" s="19" t="n"/>
      <c r="Z53" s="19">
        <f>IF(Y53="","",Y53-V53)</f>
        <v/>
      </c>
      <c r="AA53" s="21">
        <f>IF(OR(Y53="",Y53=0),"",V53/Y53)</f>
        <v/>
      </c>
      <c r="AB53" s="22">
        <f>IF(OR(Y53="",Y53=0),"",IF((10-W53-X53)&lt;=0,"N/A",Z53/(10-W53-X53)))</f>
        <v/>
      </c>
      <c r="AC53" s="19">
        <f>IF(W53=0,"",ROUND((V53/W53)*10,0))</f>
        <v/>
      </c>
    </row>
    <row r="54">
      <c r="A54" s="18" t="inlineStr">
        <is>
          <t>Grayson Barnhart</t>
        </is>
      </c>
      <c r="B54" s="19" t="n"/>
      <c r="C54" s="6" t="n"/>
      <c r="D54" s="19" t="n"/>
      <c r="E54" s="6" t="n"/>
      <c r="F54" s="19" t="n"/>
      <c r="G54" s="6" t="n"/>
      <c r="H54" s="19" t="n"/>
      <c r="I54" s="6" t="n"/>
      <c r="J54" s="19" t="n"/>
      <c r="K54" s="6" t="n"/>
      <c r="L54" s="19" t="n"/>
      <c r="M54" s="6" t="n"/>
      <c r="N54" s="19" t="n"/>
      <c r="O54" s="6" t="n"/>
      <c r="P54" s="19" t="n"/>
      <c r="Q54" s="6" t="n"/>
      <c r="R54" s="19" t="n"/>
      <c r="S54" s="6" t="n"/>
      <c r="T54" s="19" t="n"/>
      <c r="U54" s="6" t="n"/>
      <c r="V54" s="20">
        <f>SUM(B54,D54,F54,H54,J54,L54,N54,P54,R54,T54)</f>
        <v/>
      </c>
      <c r="W54" s="19">
        <f>COUNTIF(C54,"P")+COUNTIF(E54,"P")+COUNTIF(G54,"P")+COUNTIF(I54,"P")+COUNTIF(K54,"P")+COUNTIF(M54,"P")+COUNTIF(O54,"P")+COUNTIF(Q54,"P")+COUNTIF(S54,"P")+COUNTIF(U54,"P")</f>
        <v/>
      </c>
      <c r="X54" s="19">
        <f>COUNTIF(C54,"A")+COUNTIF(E54,"A")+COUNTIF(G54,"A")+COUNTIF(I54,"A")+COUNTIF(K54,"A")+COUNTIF(M54,"A")+COUNTIF(O54,"A")+COUNTIF(Q54,"A")+COUNTIF(S54,"A")+COUNTIF(U54,"A")</f>
        <v/>
      </c>
      <c r="Y54" s="19" t="n"/>
      <c r="Z54" s="19">
        <f>IF(Y54="","",Y54-V54)</f>
        <v/>
      </c>
      <c r="AA54" s="21">
        <f>IF(OR(Y54="",Y54=0),"",V54/Y54)</f>
        <v/>
      </c>
      <c r="AB54" s="22">
        <f>IF(OR(Y54="",Y54=0),"",IF((10-W54-X54)&lt;=0,"N/A",Z54/(10-W54-X54)))</f>
        <v/>
      </c>
      <c r="AC54" s="19">
        <f>IF(W54=0,"",ROUND((V54/W54)*10,0))</f>
        <v/>
      </c>
    </row>
    <row r="55">
      <c r="A55" s="18" t="inlineStr">
        <is>
          <t>Abel Abraham</t>
        </is>
      </c>
      <c r="B55" s="19" t="n"/>
      <c r="C55" s="6" t="n"/>
      <c r="D55" s="19" t="n"/>
      <c r="E55" s="6" t="n"/>
      <c r="F55" s="19" t="n"/>
      <c r="G55" s="6" t="n"/>
      <c r="H55" s="19" t="n"/>
      <c r="I55" s="6" t="n"/>
      <c r="J55" s="19" t="n"/>
      <c r="K55" s="6" t="n"/>
      <c r="L55" s="19" t="n"/>
      <c r="M55" s="6" t="n"/>
      <c r="N55" s="19" t="n"/>
      <c r="O55" s="6" t="n"/>
      <c r="P55" s="19" t="n"/>
      <c r="Q55" s="6" t="n"/>
      <c r="R55" s="19" t="n"/>
      <c r="S55" s="6" t="n"/>
      <c r="T55" s="19" t="n"/>
      <c r="U55" s="6" t="n"/>
      <c r="V55" s="20">
        <f>SUM(B55,D55,F55,H55,J55,L55,N55,P55,R55,T55)</f>
        <v/>
      </c>
      <c r="W55" s="19">
        <f>COUNTIF(C55,"P")+COUNTIF(E55,"P")+COUNTIF(G55,"P")+COUNTIF(I55,"P")+COUNTIF(K55,"P")+COUNTIF(M55,"P")+COUNTIF(O55,"P")+COUNTIF(Q55,"P")+COUNTIF(S55,"P")+COUNTIF(U55,"P")</f>
        <v/>
      </c>
      <c r="X55" s="19">
        <f>COUNTIF(C55,"A")+COUNTIF(E55,"A")+COUNTIF(G55,"A")+COUNTIF(I55,"A")+COUNTIF(K55,"A")+COUNTIF(M55,"A")+COUNTIF(O55,"A")+COUNTIF(Q55,"A")+COUNTIF(S55,"A")+COUNTIF(U55,"A")</f>
        <v/>
      </c>
      <c r="Y55" s="19" t="n"/>
      <c r="Z55" s="19">
        <f>IF(Y55="","",Y55-V55)</f>
        <v/>
      </c>
      <c r="AA55" s="21">
        <f>IF(OR(Y55="",Y55=0),"",V55/Y55)</f>
        <v/>
      </c>
      <c r="AB55" s="22">
        <f>IF(OR(Y55="",Y55=0),"",IF((10-W55-X55)&lt;=0,"N/A",Z55/(10-W55-X55)))</f>
        <v/>
      </c>
      <c r="AC55" s="19">
        <f>IF(W55=0,"",ROUND((V55/W55)*10,0))</f>
        <v/>
      </c>
    </row>
    <row r="56">
      <c r="A56" s="18" t="inlineStr">
        <is>
          <t>John Joby</t>
        </is>
      </c>
      <c r="B56" s="19" t="n"/>
      <c r="C56" s="6" t="n"/>
      <c r="D56" s="19" t="n"/>
      <c r="E56" s="6" t="n"/>
      <c r="F56" s="19" t="n"/>
      <c r="G56" s="6" t="n"/>
      <c r="H56" s="19" t="n"/>
      <c r="I56" s="6" t="n"/>
      <c r="J56" s="19" t="n"/>
      <c r="K56" s="6" t="n"/>
      <c r="L56" s="19" t="n"/>
      <c r="M56" s="6" t="n"/>
      <c r="N56" s="19" t="n"/>
      <c r="O56" s="6" t="n"/>
      <c r="P56" s="19" t="n"/>
      <c r="Q56" s="6" t="n"/>
      <c r="R56" s="19" t="n"/>
      <c r="S56" s="6" t="n"/>
      <c r="T56" s="19" t="n"/>
      <c r="U56" s="6" t="n"/>
      <c r="V56" s="20">
        <f>SUM(B56,D56,F56,H56,J56,L56,N56,P56,R56,T56)</f>
        <v/>
      </c>
      <c r="W56" s="19">
        <f>COUNTIF(C56,"P")+COUNTIF(E56,"P")+COUNTIF(G56,"P")+COUNTIF(I56,"P")+COUNTIF(K56,"P")+COUNTIF(M56,"P")+COUNTIF(O56,"P")+COUNTIF(Q56,"P")+COUNTIF(S56,"P")+COUNTIF(U56,"P")</f>
        <v/>
      </c>
      <c r="X56" s="19">
        <f>COUNTIF(C56,"A")+COUNTIF(E56,"A")+COUNTIF(G56,"A")+COUNTIF(I56,"A")+COUNTIF(K56,"A")+COUNTIF(M56,"A")+COUNTIF(O56,"A")+COUNTIF(Q56,"A")+COUNTIF(S56,"A")+COUNTIF(U56,"A")</f>
        <v/>
      </c>
      <c r="Y56" s="19" t="n"/>
      <c r="Z56" s="19">
        <f>IF(Y56="","",Y56-V56)</f>
        <v/>
      </c>
      <c r="AA56" s="21">
        <f>IF(OR(Y56="",Y56=0),"",V56/Y56)</f>
        <v/>
      </c>
      <c r="AB56" s="22">
        <f>IF(OR(Y56="",Y56=0),"",IF((10-W56-X56)&lt;=0,"N/A",Z56/(10-W56-X56)))</f>
        <v/>
      </c>
      <c r="AC56" s="19">
        <f>IF(W56=0,"",ROUND((V56/W56)*10,0))</f>
        <v/>
      </c>
    </row>
    <row r="57">
      <c r="A57" s="18" t="inlineStr">
        <is>
          <t>Jason Bean</t>
        </is>
      </c>
      <c r="B57" s="19" t="n"/>
      <c r="C57" s="6" t="n"/>
      <c r="D57" s="19" t="n"/>
      <c r="E57" s="6" t="n"/>
      <c r="F57" s="19" t="n"/>
      <c r="G57" s="6" t="n"/>
      <c r="H57" s="19" t="n"/>
      <c r="I57" s="6" t="n"/>
      <c r="J57" s="19" t="n"/>
      <c r="K57" s="6" t="n"/>
      <c r="L57" s="19" t="n"/>
      <c r="M57" s="6" t="n"/>
      <c r="N57" s="19" t="n"/>
      <c r="O57" s="6" t="n"/>
      <c r="P57" s="19" t="n"/>
      <c r="Q57" s="6" t="n"/>
      <c r="R57" s="19" t="n"/>
      <c r="S57" s="6" t="n"/>
      <c r="T57" s="19" t="n"/>
      <c r="U57" s="6" t="n"/>
      <c r="V57" s="20">
        <f>SUM(B57,D57,F57,H57,J57,L57,N57,P57,R57,T57)</f>
        <v/>
      </c>
      <c r="W57" s="19">
        <f>COUNTIF(C57,"P")+COUNTIF(E57,"P")+COUNTIF(G57,"P")+COUNTIF(I57,"P")+COUNTIF(K57,"P")+COUNTIF(M57,"P")+COUNTIF(O57,"P")+COUNTIF(Q57,"P")+COUNTIF(S57,"P")+COUNTIF(U57,"P")</f>
        <v/>
      </c>
      <c r="X57" s="19">
        <f>COUNTIF(C57,"A")+COUNTIF(E57,"A")+COUNTIF(G57,"A")+COUNTIF(I57,"A")+COUNTIF(K57,"A")+COUNTIF(M57,"A")+COUNTIF(O57,"A")+COUNTIF(Q57,"A")+COUNTIF(S57,"A")+COUNTIF(U57,"A")</f>
        <v/>
      </c>
      <c r="Y57" s="19" t="n"/>
      <c r="Z57" s="19">
        <f>IF(Y57="","",Y57-V57)</f>
        <v/>
      </c>
      <c r="AA57" s="21">
        <f>IF(OR(Y57="",Y57=0),"",V57/Y57)</f>
        <v/>
      </c>
      <c r="AB57" s="22">
        <f>IF(OR(Y57="",Y57=0),"",IF((10-W57-X57)&lt;=0,"N/A",Z57/(10-W57-X57)))</f>
        <v/>
      </c>
      <c r="AC57" s="19">
        <f>IF(W57=0,"",ROUND((V57/W57)*10,0))</f>
        <v/>
      </c>
    </row>
    <row r="60">
      <c r="A60" s="23" t="inlineStr">
        <is>
          <t>Q4 — Quarter 4</t>
        </is>
      </c>
    </row>
    <row r="61">
      <c r="A61" s="17" t="inlineStr">
        <is>
          <t>Student Name</t>
        </is>
      </c>
      <c r="B61" s="17" t="inlineStr">
        <is>
          <t>Sess 1</t>
        </is>
      </c>
      <c r="C61" s="17" t="inlineStr">
        <is>
          <t>Att 1</t>
        </is>
      </c>
      <c r="D61" s="17" t="inlineStr">
        <is>
          <t>Sess 2</t>
        </is>
      </c>
      <c r="E61" s="17" t="inlineStr">
        <is>
          <t>Att 2</t>
        </is>
      </c>
      <c r="F61" s="17" t="inlineStr">
        <is>
          <t>Sess 3</t>
        </is>
      </c>
      <c r="G61" s="17" t="inlineStr">
        <is>
          <t>Att 3</t>
        </is>
      </c>
      <c r="H61" s="17" t="inlineStr">
        <is>
          <t>Sess 4</t>
        </is>
      </c>
      <c r="I61" s="17" t="inlineStr">
        <is>
          <t>Att 4</t>
        </is>
      </c>
      <c r="J61" s="17" t="inlineStr">
        <is>
          <t>Sess 5</t>
        </is>
      </c>
      <c r="K61" s="17" t="inlineStr">
        <is>
          <t>Att 5</t>
        </is>
      </c>
      <c r="L61" s="17" t="inlineStr">
        <is>
          <t>Sess 6</t>
        </is>
      </c>
      <c r="M61" s="17" t="inlineStr">
        <is>
          <t>Att 6</t>
        </is>
      </c>
      <c r="N61" s="17" t="inlineStr">
        <is>
          <t>Sess 7</t>
        </is>
      </c>
      <c r="O61" s="17" t="inlineStr">
        <is>
          <t>Att 7</t>
        </is>
      </c>
      <c r="P61" s="17" t="inlineStr">
        <is>
          <t>Sess 8</t>
        </is>
      </c>
      <c r="Q61" s="17" t="inlineStr">
        <is>
          <t>Att 8</t>
        </is>
      </c>
      <c r="R61" s="17" t="inlineStr">
        <is>
          <t>Sess 9</t>
        </is>
      </c>
      <c r="S61" s="17" t="inlineStr">
        <is>
          <t>Att 9</t>
        </is>
      </c>
      <c r="T61" s="17" t="inlineStr">
        <is>
          <t>Sess 10</t>
        </is>
      </c>
      <c r="U61" s="17" t="inlineStr">
        <is>
          <t>Att 10</t>
        </is>
      </c>
      <c r="V61" s="17" t="inlineStr">
        <is>
          <t>Min Met</t>
        </is>
      </c>
      <c r="W61" s="17" t="inlineStr">
        <is>
          <t>Sess Att</t>
        </is>
      </c>
      <c r="X61" s="17" t="inlineStr">
        <is>
          <t>Absences</t>
        </is>
      </c>
      <c r="Y61" s="17" t="inlineStr">
        <is>
          <t>IEP Req</t>
        </is>
      </c>
      <c r="Z61" s="17" t="inlineStr">
        <is>
          <t>Min Remain</t>
        </is>
      </c>
      <c r="AA61" s="17" t="inlineStr">
        <is>
          <t>% Complete</t>
        </is>
      </c>
      <c r="AB61" s="17" t="inlineStr">
        <is>
          <t>Pace Needed</t>
        </is>
      </c>
      <c r="AC61" s="17" t="inlineStr">
        <is>
          <t>Projected</t>
        </is>
      </c>
    </row>
    <row r="62">
      <c r="A62" s="18" t="inlineStr">
        <is>
          <t>Raya Hightower</t>
        </is>
      </c>
      <c r="B62" s="19" t="n"/>
      <c r="C62" s="6" t="n"/>
      <c r="D62" s="19" t="n"/>
      <c r="E62" s="6" t="n"/>
      <c r="F62" s="19" t="n"/>
      <c r="G62" s="6" t="n"/>
      <c r="H62" s="19" t="n"/>
      <c r="I62" s="6" t="n"/>
      <c r="J62" s="19" t="n"/>
      <c r="K62" s="6" t="n"/>
      <c r="L62" s="19" t="n"/>
      <c r="M62" s="6" t="n"/>
      <c r="N62" s="19" t="n"/>
      <c r="O62" s="6" t="n"/>
      <c r="P62" s="19" t="n"/>
      <c r="Q62" s="6" t="n"/>
      <c r="R62" s="19" t="n"/>
      <c r="S62" s="6" t="n"/>
      <c r="T62" s="19" t="n"/>
      <c r="U62" s="6" t="n"/>
      <c r="V62" s="20">
        <f>SUM(B62,D62,F62,H62,J62,L62,N62,P62,R62,T62)</f>
        <v/>
      </c>
      <c r="W62" s="19">
        <f>COUNTIF(C62,"P")+COUNTIF(E62,"P")+COUNTIF(G62,"P")+COUNTIF(I62,"P")+COUNTIF(K62,"P")+COUNTIF(M62,"P")+COUNTIF(O62,"P")+COUNTIF(Q62,"P")+COUNTIF(S62,"P")+COUNTIF(U62,"P")</f>
        <v/>
      </c>
      <c r="X62" s="19">
        <f>COUNTIF(C62,"A")+COUNTIF(E62,"A")+COUNTIF(G62,"A")+COUNTIF(I62,"A")+COUNTIF(K62,"A")+COUNTIF(M62,"A")+COUNTIF(O62,"A")+COUNTIF(Q62,"A")+COUNTIF(S62,"A")+COUNTIF(U62,"A")</f>
        <v/>
      </c>
      <c r="Y62" s="19" t="n"/>
      <c r="Z62" s="19">
        <f>IF(Y62="","",Y62-V62)</f>
        <v/>
      </c>
      <c r="AA62" s="21">
        <f>IF(OR(Y62="",Y62=0),"",V62/Y62)</f>
        <v/>
      </c>
      <c r="AB62" s="22">
        <f>IF(OR(Y62="",Y62=0),"",IF((10-W62-X62)&lt;=0,"N/A",Z62/(10-W62-X62)))</f>
        <v/>
      </c>
      <c r="AC62" s="19">
        <f>IF(W62=0,"",ROUND((V62/W62)*10,0))</f>
        <v/>
      </c>
    </row>
    <row r="63">
      <c r="A63" s="18" t="inlineStr">
        <is>
          <t>Anu Vijay Anand</t>
        </is>
      </c>
      <c r="B63" s="19" t="n"/>
      <c r="C63" s="6" t="n"/>
      <c r="D63" s="19" t="n"/>
      <c r="E63" s="6" t="n"/>
      <c r="F63" s="19" t="n"/>
      <c r="G63" s="6" t="n"/>
      <c r="H63" s="19" t="n"/>
      <c r="I63" s="6" t="n"/>
      <c r="J63" s="19" t="n"/>
      <c r="K63" s="6" t="n"/>
      <c r="L63" s="19" t="n"/>
      <c r="M63" s="6" t="n"/>
      <c r="N63" s="19" t="n"/>
      <c r="O63" s="6" t="n"/>
      <c r="P63" s="19" t="n"/>
      <c r="Q63" s="6" t="n"/>
      <c r="R63" s="19" t="n"/>
      <c r="S63" s="6" t="n"/>
      <c r="T63" s="19" t="n"/>
      <c r="U63" s="6" t="n"/>
      <c r="V63" s="20">
        <f>SUM(B63,D63,F63,H63,J63,L63,N63,P63,R63,T63)</f>
        <v/>
      </c>
      <c r="W63" s="19">
        <f>COUNTIF(C63,"P")+COUNTIF(E63,"P")+COUNTIF(G63,"P")+COUNTIF(I63,"P")+COUNTIF(K63,"P")+COUNTIF(M63,"P")+COUNTIF(O63,"P")+COUNTIF(Q63,"P")+COUNTIF(S63,"P")+COUNTIF(U63,"P")</f>
        <v/>
      </c>
      <c r="X63" s="19">
        <f>COUNTIF(C63,"A")+COUNTIF(E63,"A")+COUNTIF(G63,"A")+COUNTIF(I63,"A")+COUNTIF(K63,"A")+COUNTIF(M63,"A")+COUNTIF(O63,"A")+COUNTIF(Q63,"A")+COUNTIF(S63,"A")+COUNTIF(U63,"A")</f>
        <v/>
      </c>
      <c r="Y63" s="19" t="n"/>
      <c r="Z63" s="19">
        <f>IF(Y63="","",Y63-V63)</f>
        <v/>
      </c>
      <c r="AA63" s="21">
        <f>IF(OR(Y63="",Y63=0),"",V63/Y63)</f>
        <v/>
      </c>
      <c r="AB63" s="22">
        <f>IF(OR(Y63="",Y63=0),"",IF((10-W63-X63)&lt;=0,"N/A",Z63/(10-W63-X63)))</f>
        <v/>
      </c>
      <c r="AC63" s="19">
        <f>IF(W63=0,"",ROUND((V63/W63)*10,0))</f>
        <v/>
      </c>
    </row>
    <row r="64">
      <c r="A64" s="18" t="inlineStr">
        <is>
          <t>Aadhya Gone</t>
        </is>
      </c>
      <c r="B64" s="19" t="n"/>
      <c r="C64" s="6" t="n"/>
      <c r="D64" s="19" t="n"/>
      <c r="E64" s="6" t="n"/>
      <c r="F64" s="19" t="n"/>
      <c r="G64" s="6" t="n"/>
      <c r="H64" s="19" t="n"/>
      <c r="I64" s="6" t="n"/>
      <c r="J64" s="19" t="n"/>
      <c r="K64" s="6" t="n"/>
      <c r="L64" s="19" t="n"/>
      <c r="M64" s="6" t="n"/>
      <c r="N64" s="19" t="n"/>
      <c r="O64" s="6" t="n"/>
      <c r="P64" s="19" t="n"/>
      <c r="Q64" s="6" t="n"/>
      <c r="R64" s="19" t="n"/>
      <c r="S64" s="6" t="n"/>
      <c r="T64" s="19" t="n"/>
      <c r="U64" s="6" t="n"/>
      <c r="V64" s="20">
        <f>SUM(B64,D64,F64,H64,J64,L64,N64,P64,R64,T64)</f>
        <v/>
      </c>
      <c r="W64" s="19">
        <f>COUNTIF(C64,"P")+COUNTIF(E64,"P")+COUNTIF(G64,"P")+COUNTIF(I64,"P")+COUNTIF(K64,"P")+COUNTIF(M64,"P")+COUNTIF(O64,"P")+COUNTIF(Q64,"P")+COUNTIF(S64,"P")+COUNTIF(U64,"P")</f>
        <v/>
      </c>
      <c r="X64" s="19">
        <f>COUNTIF(C64,"A")+COUNTIF(E64,"A")+COUNTIF(G64,"A")+COUNTIF(I64,"A")+COUNTIF(K64,"A")+COUNTIF(M64,"A")+COUNTIF(O64,"A")+COUNTIF(Q64,"A")+COUNTIF(S64,"A")+COUNTIF(U64,"A")</f>
        <v/>
      </c>
      <c r="Y64" s="19" t="n"/>
      <c r="Z64" s="19">
        <f>IF(Y64="","",Y64-V64)</f>
        <v/>
      </c>
      <c r="AA64" s="21">
        <f>IF(OR(Y64="",Y64=0),"",V64/Y64)</f>
        <v/>
      </c>
      <c r="AB64" s="22">
        <f>IF(OR(Y64="",Y64=0),"",IF((10-W64-X64)&lt;=0,"N/A",Z64/(10-W64-X64)))</f>
        <v/>
      </c>
      <c r="AC64" s="19">
        <f>IF(W64=0,"",ROUND((V64/W64)*10,0))</f>
        <v/>
      </c>
    </row>
    <row r="65">
      <c r="A65" s="18" t="inlineStr">
        <is>
          <t>Sumeyah Khan</t>
        </is>
      </c>
      <c r="B65" s="19" t="n"/>
      <c r="C65" s="6" t="n"/>
      <c r="D65" s="19" t="n"/>
      <c r="E65" s="6" t="n"/>
      <c r="F65" s="19" t="n"/>
      <c r="G65" s="6" t="n"/>
      <c r="H65" s="19" t="n"/>
      <c r="I65" s="6" t="n"/>
      <c r="J65" s="19" t="n"/>
      <c r="K65" s="6" t="n"/>
      <c r="L65" s="19" t="n"/>
      <c r="M65" s="6" t="n"/>
      <c r="N65" s="19" t="n"/>
      <c r="O65" s="6" t="n"/>
      <c r="P65" s="19" t="n"/>
      <c r="Q65" s="6" t="n"/>
      <c r="R65" s="19" t="n"/>
      <c r="S65" s="6" t="n"/>
      <c r="T65" s="19" t="n"/>
      <c r="U65" s="6" t="n"/>
      <c r="V65" s="20">
        <f>SUM(B65,D65,F65,H65,J65,L65,N65,P65,R65,T65)</f>
        <v/>
      </c>
      <c r="W65" s="19">
        <f>COUNTIF(C65,"P")+COUNTIF(E65,"P")+COUNTIF(G65,"P")+COUNTIF(I65,"P")+COUNTIF(K65,"P")+COUNTIF(M65,"P")+COUNTIF(O65,"P")+COUNTIF(Q65,"P")+COUNTIF(S65,"P")+COUNTIF(U65,"P")</f>
        <v/>
      </c>
      <c r="X65" s="19">
        <f>COUNTIF(C65,"A")+COUNTIF(E65,"A")+COUNTIF(G65,"A")+COUNTIF(I65,"A")+COUNTIF(K65,"A")+COUNTIF(M65,"A")+COUNTIF(O65,"A")+COUNTIF(Q65,"A")+COUNTIF(S65,"A")+COUNTIF(U65,"A")</f>
        <v/>
      </c>
      <c r="Y65" s="19" t="n"/>
      <c r="Z65" s="19">
        <f>IF(Y65="","",Y65-V65)</f>
        <v/>
      </c>
      <c r="AA65" s="21">
        <f>IF(OR(Y65="",Y65=0),"",V65/Y65)</f>
        <v/>
      </c>
      <c r="AB65" s="22">
        <f>IF(OR(Y65="",Y65=0),"",IF((10-W65-X65)&lt;=0,"N/A",Z65/(10-W65-X65)))</f>
        <v/>
      </c>
      <c r="AC65" s="19">
        <f>IF(W65=0,"",ROUND((V65/W65)*10,0))</f>
        <v/>
      </c>
    </row>
    <row r="66">
      <c r="A66" s="18" t="inlineStr">
        <is>
          <t>Maria Mujeeb</t>
        </is>
      </c>
      <c r="B66" s="19" t="n"/>
      <c r="C66" s="6" t="n"/>
      <c r="D66" s="19" t="n"/>
      <c r="E66" s="6" t="n"/>
      <c r="F66" s="19" t="n"/>
      <c r="G66" s="6" t="n"/>
      <c r="H66" s="19" t="n"/>
      <c r="I66" s="6" t="n"/>
      <c r="J66" s="19" t="n"/>
      <c r="K66" s="6" t="n"/>
      <c r="L66" s="19" t="n"/>
      <c r="M66" s="6" t="n"/>
      <c r="N66" s="19" t="n"/>
      <c r="O66" s="6" t="n"/>
      <c r="P66" s="19" t="n"/>
      <c r="Q66" s="6" t="n"/>
      <c r="R66" s="19" t="n"/>
      <c r="S66" s="6" t="n"/>
      <c r="T66" s="19" t="n"/>
      <c r="U66" s="6" t="n"/>
      <c r="V66" s="20">
        <f>SUM(B66,D66,F66,H66,J66,L66,N66,P66,R66,T66)</f>
        <v/>
      </c>
      <c r="W66" s="19">
        <f>COUNTIF(C66,"P")+COUNTIF(E66,"P")+COUNTIF(G66,"P")+COUNTIF(I66,"P")+COUNTIF(K66,"P")+COUNTIF(M66,"P")+COUNTIF(O66,"P")+COUNTIF(Q66,"P")+COUNTIF(S66,"P")+COUNTIF(U66,"P")</f>
        <v/>
      </c>
      <c r="X66" s="19">
        <f>COUNTIF(C66,"A")+COUNTIF(E66,"A")+COUNTIF(G66,"A")+COUNTIF(I66,"A")+COUNTIF(K66,"A")+COUNTIF(M66,"A")+COUNTIF(O66,"A")+COUNTIF(Q66,"A")+COUNTIF(S66,"A")+COUNTIF(U66,"A")</f>
        <v/>
      </c>
      <c r="Y66" s="19" t="n"/>
      <c r="Z66" s="19">
        <f>IF(Y66="","",Y66-V66)</f>
        <v/>
      </c>
      <c r="AA66" s="21">
        <f>IF(OR(Y66="",Y66=0),"",V66/Y66)</f>
        <v/>
      </c>
      <c r="AB66" s="22">
        <f>IF(OR(Y66="",Y66=0),"",IF((10-W66-X66)&lt;=0,"N/A",Z66/(10-W66-X66)))</f>
        <v/>
      </c>
      <c r="AC66" s="19">
        <f>IF(W66=0,"",ROUND((V66/W66)*10,0))</f>
        <v/>
      </c>
    </row>
    <row r="67">
      <c r="A67" s="18" t="inlineStr">
        <is>
          <t>Jace Ratliff</t>
        </is>
      </c>
      <c r="B67" s="19" t="n"/>
      <c r="C67" s="6" t="n"/>
      <c r="D67" s="19" t="n"/>
      <c r="E67" s="6" t="n"/>
      <c r="F67" s="19" t="n"/>
      <c r="G67" s="6" t="n"/>
      <c r="H67" s="19" t="n"/>
      <c r="I67" s="6" t="n"/>
      <c r="J67" s="19" t="n"/>
      <c r="K67" s="6" t="n"/>
      <c r="L67" s="19" t="n"/>
      <c r="M67" s="6" t="n"/>
      <c r="N67" s="19" t="n"/>
      <c r="O67" s="6" t="n"/>
      <c r="P67" s="19" t="n"/>
      <c r="Q67" s="6" t="n"/>
      <c r="R67" s="19" t="n"/>
      <c r="S67" s="6" t="n"/>
      <c r="T67" s="19" t="n"/>
      <c r="U67" s="6" t="n"/>
      <c r="V67" s="20">
        <f>SUM(B67,D67,F67,H67,J67,L67,N67,P67,R67,T67)</f>
        <v/>
      </c>
      <c r="W67" s="19">
        <f>COUNTIF(C67,"P")+COUNTIF(E67,"P")+COUNTIF(G67,"P")+COUNTIF(I67,"P")+COUNTIF(K67,"P")+COUNTIF(M67,"P")+COUNTIF(O67,"P")+COUNTIF(Q67,"P")+COUNTIF(S67,"P")+COUNTIF(U67,"P")</f>
        <v/>
      </c>
      <c r="X67" s="19">
        <f>COUNTIF(C67,"A")+COUNTIF(E67,"A")+COUNTIF(G67,"A")+COUNTIF(I67,"A")+COUNTIF(K67,"A")+COUNTIF(M67,"A")+COUNTIF(O67,"A")+COUNTIF(Q67,"A")+COUNTIF(S67,"A")+COUNTIF(U67,"A")</f>
        <v/>
      </c>
      <c r="Y67" s="19" t="n"/>
      <c r="Z67" s="19">
        <f>IF(Y67="","",Y67-V67)</f>
        <v/>
      </c>
      <c r="AA67" s="21">
        <f>IF(OR(Y67="",Y67=0),"",V67/Y67)</f>
        <v/>
      </c>
      <c r="AB67" s="22">
        <f>IF(OR(Y67="",Y67=0),"",IF((10-W67-X67)&lt;=0,"N/A",Z67/(10-W67-X67)))</f>
        <v/>
      </c>
      <c r="AC67" s="19">
        <f>IF(W67=0,"",ROUND((V67/W67)*10,0))</f>
        <v/>
      </c>
    </row>
    <row r="68">
      <c r="A68" s="18" t="inlineStr">
        <is>
          <t>Evan Allen</t>
        </is>
      </c>
      <c r="B68" s="19" t="n"/>
      <c r="C68" s="6" t="n"/>
      <c r="D68" s="19" t="n"/>
      <c r="E68" s="6" t="n"/>
      <c r="F68" s="19" t="n"/>
      <c r="G68" s="6" t="n"/>
      <c r="H68" s="19" t="n"/>
      <c r="I68" s="6" t="n"/>
      <c r="J68" s="19" t="n"/>
      <c r="K68" s="6" t="n"/>
      <c r="L68" s="19" t="n"/>
      <c r="M68" s="6" t="n"/>
      <c r="N68" s="19" t="n"/>
      <c r="O68" s="6" t="n"/>
      <c r="P68" s="19" t="n"/>
      <c r="Q68" s="6" t="n"/>
      <c r="R68" s="19" t="n"/>
      <c r="S68" s="6" t="n"/>
      <c r="T68" s="19" t="n"/>
      <c r="U68" s="6" t="n"/>
      <c r="V68" s="20">
        <f>SUM(B68,D68,F68,H68,J68,L68,N68,P68,R68,T68)</f>
        <v/>
      </c>
      <c r="W68" s="19">
        <f>COUNTIF(C68,"P")+COUNTIF(E68,"P")+COUNTIF(G68,"P")+COUNTIF(I68,"P")+COUNTIF(K68,"P")+COUNTIF(M68,"P")+COUNTIF(O68,"P")+COUNTIF(Q68,"P")+COUNTIF(S68,"P")+COUNTIF(U68,"P")</f>
        <v/>
      </c>
      <c r="X68" s="19">
        <f>COUNTIF(C68,"A")+COUNTIF(E68,"A")+COUNTIF(G68,"A")+COUNTIF(I68,"A")+COUNTIF(K68,"A")+COUNTIF(M68,"A")+COUNTIF(O68,"A")+COUNTIF(Q68,"A")+COUNTIF(S68,"A")+COUNTIF(U68,"A")</f>
        <v/>
      </c>
      <c r="Y68" s="19" t="n"/>
      <c r="Z68" s="19">
        <f>IF(Y68="","",Y68-V68)</f>
        <v/>
      </c>
      <c r="AA68" s="21">
        <f>IF(OR(Y68="",Y68=0),"",V68/Y68)</f>
        <v/>
      </c>
      <c r="AB68" s="22">
        <f>IF(OR(Y68="",Y68=0),"",IF((10-W68-X68)&lt;=0,"N/A",Z68/(10-W68-X68)))</f>
        <v/>
      </c>
      <c r="AC68" s="19">
        <f>IF(W68=0,"",ROUND((V68/W68)*10,0))</f>
        <v/>
      </c>
    </row>
    <row r="69">
      <c r="A69" s="18" t="inlineStr">
        <is>
          <t>Sai Neelagiri</t>
        </is>
      </c>
      <c r="B69" s="19" t="n"/>
      <c r="C69" s="6" t="n"/>
      <c r="D69" s="19" t="n"/>
      <c r="E69" s="6" t="n"/>
      <c r="F69" s="19" t="n"/>
      <c r="G69" s="6" t="n"/>
      <c r="H69" s="19" t="n"/>
      <c r="I69" s="6" t="n"/>
      <c r="J69" s="19" t="n"/>
      <c r="K69" s="6" t="n"/>
      <c r="L69" s="19" t="n"/>
      <c r="M69" s="6" t="n"/>
      <c r="N69" s="19" t="n"/>
      <c r="O69" s="6" t="n"/>
      <c r="P69" s="19" t="n"/>
      <c r="Q69" s="6" t="n"/>
      <c r="R69" s="19" t="n"/>
      <c r="S69" s="6" t="n"/>
      <c r="T69" s="19" t="n"/>
      <c r="U69" s="6" t="n"/>
      <c r="V69" s="20">
        <f>SUM(B69,D69,F69,H69,J69,L69,N69,P69,R69,T69)</f>
        <v/>
      </c>
      <c r="W69" s="19">
        <f>COUNTIF(C69,"P")+COUNTIF(E69,"P")+COUNTIF(G69,"P")+COUNTIF(I69,"P")+COUNTIF(K69,"P")+COUNTIF(M69,"P")+COUNTIF(O69,"P")+COUNTIF(Q69,"P")+COUNTIF(S69,"P")+COUNTIF(U69,"P")</f>
        <v/>
      </c>
      <c r="X69" s="19">
        <f>COUNTIF(C69,"A")+COUNTIF(E69,"A")+COUNTIF(G69,"A")+COUNTIF(I69,"A")+COUNTIF(K69,"A")+COUNTIF(M69,"A")+COUNTIF(O69,"A")+COUNTIF(Q69,"A")+COUNTIF(S69,"A")+COUNTIF(U69,"A")</f>
        <v/>
      </c>
      <c r="Y69" s="19" t="n"/>
      <c r="Z69" s="19">
        <f>IF(Y69="","",Y69-V69)</f>
        <v/>
      </c>
      <c r="AA69" s="21">
        <f>IF(OR(Y69="",Y69=0),"",V69/Y69)</f>
        <v/>
      </c>
      <c r="AB69" s="22">
        <f>IF(OR(Y69="",Y69=0),"",IF((10-W69-X69)&lt;=0,"N/A",Z69/(10-W69-X69)))</f>
        <v/>
      </c>
      <c r="AC69" s="19">
        <f>IF(W69=0,"",ROUND((V69/W69)*10,0))</f>
        <v/>
      </c>
    </row>
    <row r="70">
      <c r="A70" s="18" t="inlineStr">
        <is>
          <t>Fletcher Meese</t>
        </is>
      </c>
      <c r="B70" s="19" t="n"/>
      <c r="C70" s="6" t="n"/>
      <c r="D70" s="19" t="n"/>
      <c r="E70" s="6" t="n"/>
      <c r="F70" s="19" t="n"/>
      <c r="G70" s="6" t="n"/>
      <c r="H70" s="19" t="n"/>
      <c r="I70" s="6" t="n"/>
      <c r="J70" s="19" t="n"/>
      <c r="K70" s="6" t="n"/>
      <c r="L70" s="19" t="n"/>
      <c r="M70" s="6" t="n"/>
      <c r="N70" s="19" t="n"/>
      <c r="O70" s="6" t="n"/>
      <c r="P70" s="19" t="n"/>
      <c r="Q70" s="6" t="n"/>
      <c r="R70" s="19" t="n"/>
      <c r="S70" s="6" t="n"/>
      <c r="T70" s="19" t="n"/>
      <c r="U70" s="6" t="n"/>
      <c r="V70" s="20">
        <f>SUM(B70,D70,F70,H70,J70,L70,N70,P70,R70,T70)</f>
        <v/>
      </c>
      <c r="W70" s="19">
        <f>COUNTIF(C70,"P")+COUNTIF(E70,"P")+COUNTIF(G70,"P")+COUNTIF(I70,"P")+COUNTIF(K70,"P")+COUNTIF(M70,"P")+COUNTIF(O70,"P")+COUNTIF(Q70,"P")+COUNTIF(S70,"P")+COUNTIF(U70,"P")</f>
        <v/>
      </c>
      <c r="X70" s="19">
        <f>COUNTIF(C70,"A")+COUNTIF(E70,"A")+COUNTIF(G70,"A")+COUNTIF(I70,"A")+COUNTIF(K70,"A")+COUNTIF(M70,"A")+COUNTIF(O70,"A")+COUNTIF(Q70,"A")+COUNTIF(S70,"A")+COUNTIF(U70,"A")</f>
        <v/>
      </c>
      <c r="Y70" s="19" t="n"/>
      <c r="Z70" s="19">
        <f>IF(Y70="","",Y70-V70)</f>
        <v/>
      </c>
      <c r="AA70" s="21">
        <f>IF(OR(Y70="",Y70=0),"",V70/Y70)</f>
        <v/>
      </c>
      <c r="AB70" s="22">
        <f>IF(OR(Y70="",Y70=0),"",IF((10-W70-X70)&lt;=0,"N/A",Z70/(10-W70-X70)))</f>
        <v/>
      </c>
      <c r="AC70" s="19">
        <f>IF(W70=0,"",ROUND((V70/W70)*10,0))</f>
        <v/>
      </c>
    </row>
    <row r="71">
      <c r="A71" s="18" t="inlineStr">
        <is>
          <t>Elijah Aldaco</t>
        </is>
      </c>
      <c r="B71" s="19" t="n"/>
      <c r="C71" s="6" t="n"/>
      <c r="D71" s="19" t="n"/>
      <c r="E71" s="6" t="n"/>
      <c r="F71" s="19" t="n"/>
      <c r="G71" s="6" t="n"/>
      <c r="H71" s="19" t="n"/>
      <c r="I71" s="6" t="n"/>
      <c r="J71" s="19" t="n"/>
      <c r="K71" s="6" t="n"/>
      <c r="L71" s="19" t="n"/>
      <c r="M71" s="6" t="n"/>
      <c r="N71" s="19" t="n"/>
      <c r="O71" s="6" t="n"/>
      <c r="P71" s="19" t="n"/>
      <c r="Q71" s="6" t="n"/>
      <c r="R71" s="19" t="n"/>
      <c r="S71" s="6" t="n"/>
      <c r="T71" s="19" t="n"/>
      <c r="U71" s="6" t="n"/>
      <c r="V71" s="20">
        <f>SUM(B71,D71,F71,H71,J71,L71,N71,P71,R71,T71)</f>
        <v/>
      </c>
      <c r="W71" s="19">
        <f>COUNTIF(C71,"P")+COUNTIF(E71,"P")+COUNTIF(G71,"P")+COUNTIF(I71,"P")+COUNTIF(K71,"P")+COUNTIF(M71,"P")+COUNTIF(O71,"P")+COUNTIF(Q71,"P")+COUNTIF(S71,"P")+COUNTIF(U71,"P")</f>
        <v/>
      </c>
      <c r="X71" s="19">
        <f>COUNTIF(C71,"A")+COUNTIF(E71,"A")+COUNTIF(G71,"A")+COUNTIF(I71,"A")+COUNTIF(K71,"A")+COUNTIF(M71,"A")+COUNTIF(O71,"A")+COUNTIF(Q71,"A")+COUNTIF(S71,"A")+COUNTIF(U71,"A")</f>
        <v/>
      </c>
      <c r="Y71" s="19" t="n"/>
      <c r="Z71" s="19">
        <f>IF(Y71="","",Y71-V71)</f>
        <v/>
      </c>
      <c r="AA71" s="21">
        <f>IF(OR(Y71="",Y71=0),"",V71/Y71)</f>
        <v/>
      </c>
      <c r="AB71" s="22">
        <f>IF(OR(Y71="",Y71=0),"",IF((10-W71-X71)&lt;=0,"N/A",Z71/(10-W71-X71)))</f>
        <v/>
      </c>
      <c r="AC71" s="19">
        <f>IF(W71=0,"",ROUND((V71/W71)*10,0))</f>
        <v/>
      </c>
    </row>
    <row r="72">
      <c r="A72" s="18" t="inlineStr">
        <is>
          <t>Cain Gutierrez</t>
        </is>
      </c>
      <c r="B72" s="19" t="n"/>
      <c r="C72" s="6" t="n"/>
      <c r="D72" s="19" t="n"/>
      <c r="E72" s="6" t="n"/>
      <c r="F72" s="19" t="n"/>
      <c r="G72" s="6" t="n"/>
      <c r="H72" s="19" t="n"/>
      <c r="I72" s="6" t="n"/>
      <c r="J72" s="19" t="n"/>
      <c r="K72" s="6" t="n"/>
      <c r="L72" s="19" t="n"/>
      <c r="M72" s="6" t="n"/>
      <c r="N72" s="19" t="n"/>
      <c r="O72" s="6" t="n"/>
      <c r="P72" s="19" t="n"/>
      <c r="Q72" s="6" t="n"/>
      <c r="R72" s="19" t="n"/>
      <c r="S72" s="6" t="n"/>
      <c r="T72" s="19" t="n"/>
      <c r="U72" s="6" t="n"/>
      <c r="V72" s="20">
        <f>SUM(B72,D72,F72,H72,J72,L72,N72,P72,R72,T72)</f>
        <v/>
      </c>
      <c r="W72" s="19">
        <f>COUNTIF(C72,"P")+COUNTIF(E72,"P")+COUNTIF(G72,"P")+COUNTIF(I72,"P")+COUNTIF(K72,"P")+COUNTIF(M72,"P")+COUNTIF(O72,"P")+COUNTIF(Q72,"P")+COUNTIF(S72,"P")+COUNTIF(U72,"P")</f>
        <v/>
      </c>
      <c r="X72" s="19">
        <f>COUNTIF(C72,"A")+COUNTIF(E72,"A")+COUNTIF(G72,"A")+COUNTIF(I72,"A")+COUNTIF(K72,"A")+COUNTIF(M72,"A")+COUNTIF(O72,"A")+COUNTIF(Q72,"A")+COUNTIF(S72,"A")+COUNTIF(U72,"A")</f>
        <v/>
      </c>
      <c r="Y72" s="19" t="n"/>
      <c r="Z72" s="19">
        <f>IF(Y72="","",Y72-V72)</f>
        <v/>
      </c>
      <c r="AA72" s="21">
        <f>IF(OR(Y72="",Y72=0),"",V72/Y72)</f>
        <v/>
      </c>
      <c r="AB72" s="22">
        <f>IF(OR(Y72="",Y72=0),"",IF((10-W72-X72)&lt;=0,"N/A",Z72/(10-W72-X72)))</f>
        <v/>
      </c>
      <c r="AC72" s="19">
        <f>IF(W72=0,"",ROUND((V72/W72)*10,0))</f>
        <v/>
      </c>
    </row>
    <row r="73">
      <c r="A73" s="18" t="inlineStr">
        <is>
          <t>Grayson Barnhart</t>
        </is>
      </c>
      <c r="B73" s="19" t="n"/>
      <c r="C73" s="6" t="n"/>
      <c r="D73" s="19" t="n"/>
      <c r="E73" s="6" t="n"/>
      <c r="F73" s="19" t="n"/>
      <c r="G73" s="6" t="n"/>
      <c r="H73" s="19" t="n"/>
      <c r="I73" s="6" t="n"/>
      <c r="J73" s="19" t="n"/>
      <c r="K73" s="6" t="n"/>
      <c r="L73" s="19" t="n"/>
      <c r="M73" s="6" t="n"/>
      <c r="N73" s="19" t="n"/>
      <c r="O73" s="6" t="n"/>
      <c r="P73" s="19" t="n"/>
      <c r="Q73" s="6" t="n"/>
      <c r="R73" s="19" t="n"/>
      <c r="S73" s="6" t="n"/>
      <c r="T73" s="19" t="n"/>
      <c r="U73" s="6" t="n"/>
      <c r="V73" s="20">
        <f>SUM(B73,D73,F73,H73,J73,L73,N73,P73,R73,T73)</f>
        <v/>
      </c>
      <c r="W73" s="19">
        <f>COUNTIF(C73,"P")+COUNTIF(E73,"P")+COUNTIF(G73,"P")+COUNTIF(I73,"P")+COUNTIF(K73,"P")+COUNTIF(M73,"P")+COUNTIF(O73,"P")+COUNTIF(Q73,"P")+COUNTIF(S73,"P")+COUNTIF(U73,"P")</f>
        <v/>
      </c>
      <c r="X73" s="19">
        <f>COUNTIF(C73,"A")+COUNTIF(E73,"A")+COUNTIF(G73,"A")+COUNTIF(I73,"A")+COUNTIF(K73,"A")+COUNTIF(M73,"A")+COUNTIF(O73,"A")+COUNTIF(Q73,"A")+COUNTIF(S73,"A")+COUNTIF(U73,"A")</f>
        <v/>
      </c>
      <c r="Y73" s="19" t="n"/>
      <c r="Z73" s="19">
        <f>IF(Y73="","",Y73-V73)</f>
        <v/>
      </c>
      <c r="AA73" s="21">
        <f>IF(OR(Y73="",Y73=0),"",V73/Y73)</f>
        <v/>
      </c>
      <c r="AB73" s="22">
        <f>IF(OR(Y73="",Y73=0),"",IF((10-W73-X73)&lt;=0,"N/A",Z73/(10-W73-X73)))</f>
        <v/>
      </c>
      <c r="AC73" s="19">
        <f>IF(W73=0,"",ROUND((V73/W73)*10,0))</f>
        <v/>
      </c>
    </row>
    <row r="74">
      <c r="A74" s="18" t="inlineStr">
        <is>
          <t>Abel Abraham</t>
        </is>
      </c>
      <c r="B74" s="19" t="n"/>
      <c r="C74" s="6" t="n"/>
      <c r="D74" s="19" t="n"/>
      <c r="E74" s="6" t="n"/>
      <c r="F74" s="19" t="n"/>
      <c r="G74" s="6" t="n"/>
      <c r="H74" s="19" t="n"/>
      <c r="I74" s="6" t="n"/>
      <c r="J74" s="19" t="n"/>
      <c r="K74" s="6" t="n"/>
      <c r="L74" s="19" t="n"/>
      <c r="M74" s="6" t="n"/>
      <c r="N74" s="19" t="n"/>
      <c r="O74" s="6" t="n"/>
      <c r="P74" s="19" t="n"/>
      <c r="Q74" s="6" t="n"/>
      <c r="R74" s="19" t="n"/>
      <c r="S74" s="6" t="n"/>
      <c r="T74" s="19" t="n"/>
      <c r="U74" s="6" t="n"/>
      <c r="V74" s="20">
        <f>SUM(B74,D74,F74,H74,J74,L74,N74,P74,R74,T74)</f>
        <v/>
      </c>
      <c r="W74" s="19">
        <f>COUNTIF(C74,"P")+COUNTIF(E74,"P")+COUNTIF(G74,"P")+COUNTIF(I74,"P")+COUNTIF(K74,"P")+COUNTIF(M74,"P")+COUNTIF(O74,"P")+COUNTIF(Q74,"P")+COUNTIF(S74,"P")+COUNTIF(U74,"P")</f>
        <v/>
      </c>
      <c r="X74" s="19">
        <f>COUNTIF(C74,"A")+COUNTIF(E74,"A")+COUNTIF(G74,"A")+COUNTIF(I74,"A")+COUNTIF(K74,"A")+COUNTIF(M74,"A")+COUNTIF(O74,"A")+COUNTIF(Q74,"A")+COUNTIF(S74,"A")+COUNTIF(U74,"A")</f>
        <v/>
      </c>
      <c r="Y74" s="19" t="n"/>
      <c r="Z74" s="19">
        <f>IF(Y74="","",Y74-V74)</f>
        <v/>
      </c>
      <c r="AA74" s="21">
        <f>IF(OR(Y74="",Y74=0),"",V74/Y74)</f>
        <v/>
      </c>
      <c r="AB74" s="22">
        <f>IF(OR(Y74="",Y74=0),"",IF((10-W74-X74)&lt;=0,"N/A",Z74/(10-W74-X74)))</f>
        <v/>
      </c>
      <c r="AC74" s="19">
        <f>IF(W74=0,"",ROUND((V74/W74)*10,0))</f>
        <v/>
      </c>
    </row>
    <row r="75">
      <c r="A75" s="18" t="inlineStr">
        <is>
          <t>John Joby</t>
        </is>
      </c>
      <c r="B75" s="19" t="n"/>
      <c r="C75" s="6" t="n"/>
      <c r="D75" s="19" t="n"/>
      <c r="E75" s="6" t="n"/>
      <c r="F75" s="19" t="n"/>
      <c r="G75" s="6" t="n"/>
      <c r="H75" s="19" t="n"/>
      <c r="I75" s="6" t="n"/>
      <c r="J75" s="19" t="n"/>
      <c r="K75" s="6" t="n"/>
      <c r="L75" s="19" t="n"/>
      <c r="M75" s="6" t="n"/>
      <c r="N75" s="19" t="n"/>
      <c r="O75" s="6" t="n"/>
      <c r="P75" s="19" t="n"/>
      <c r="Q75" s="6" t="n"/>
      <c r="R75" s="19" t="n"/>
      <c r="S75" s="6" t="n"/>
      <c r="T75" s="19" t="n"/>
      <c r="U75" s="6" t="n"/>
      <c r="V75" s="20">
        <f>SUM(B75,D75,F75,H75,J75,L75,N75,P75,R75,T75)</f>
        <v/>
      </c>
      <c r="W75" s="19">
        <f>COUNTIF(C75,"P")+COUNTIF(E75,"P")+COUNTIF(G75,"P")+COUNTIF(I75,"P")+COUNTIF(K75,"P")+COUNTIF(M75,"P")+COUNTIF(O75,"P")+COUNTIF(Q75,"P")+COUNTIF(S75,"P")+COUNTIF(U75,"P")</f>
        <v/>
      </c>
      <c r="X75" s="19">
        <f>COUNTIF(C75,"A")+COUNTIF(E75,"A")+COUNTIF(G75,"A")+COUNTIF(I75,"A")+COUNTIF(K75,"A")+COUNTIF(M75,"A")+COUNTIF(O75,"A")+COUNTIF(Q75,"A")+COUNTIF(S75,"A")+COUNTIF(U75,"A")</f>
        <v/>
      </c>
      <c r="Y75" s="19" t="n"/>
      <c r="Z75" s="19">
        <f>IF(Y75="","",Y75-V75)</f>
        <v/>
      </c>
      <c r="AA75" s="21">
        <f>IF(OR(Y75="",Y75=0),"",V75/Y75)</f>
        <v/>
      </c>
      <c r="AB75" s="22">
        <f>IF(OR(Y75="",Y75=0),"",IF((10-W75-X75)&lt;=0,"N/A",Z75/(10-W75-X75)))</f>
        <v/>
      </c>
      <c r="AC75" s="19">
        <f>IF(W75=0,"",ROUND((V75/W75)*10,0))</f>
        <v/>
      </c>
    </row>
    <row r="76">
      <c r="A76" s="18" t="inlineStr">
        <is>
          <t>Jason Bean</t>
        </is>
      </c>
      <c r="B76" s="19" t="n"/>
      <c r="C76" s="6" t="n"/>
      <c r="D76" s="19" t="n"/>
      <c r="E76" s="6" t="n"/>
      <c r="F76" s="19" t="n"/>
      <c r="G76" s="6" t="n"/>
      <c r="H76" s="19" t="n"/>
      <c r="I76" s="6" t="n"/>
      <c r="J76" s="19" t="n"/>
      <c r="K76" s="6" t="n"/>
      <c r="L76" s="19" t="n"/>
      <c r="M76" s="6" t="n"/>
      <c r="N76" s="19" t="n"/>
      <c r="O76" s="6" t="n"/>
      <c r="P76" s="19" t="n"/>
      <c r="Q76" s="6" t="n"/>
      <c r="R76" s="19" t="n"/>
      <c r="S76" s="6" t="n"/>
      <c r="T76" s="19" t="n"/>
      <c r="U76" s="6" t="n"/>
      <c r="V76" s="20">
        <f>SUM(B76,D76,F76,H76,J76,L76,N76,P76,R76,T76)</f>
        <v/>
      </c>
      <c r="W76" s="19">
        <f>COUNTIF(C76,"P")+COUNTIF(E76,"P")+COUNTIF(G76,"P")+COUNTIF(I76,"P")+COUNTIF(K76,"P")+COUNTIF(M76,"P")+COUNTIF(O76,"P")+COUNTIF(Q76,"P")+COUNTIF(S76,"P")+COUNTIF(U76,"P")</f>
        <v/>
      </c>
      <c r="X76" s="19">
        <f>COUNTIF(C76,"A")+COUNTIF(E76,"A")+COUNTIF(G76,"A")+COUNTIF(I76,"A")+COUNTIF(K76,"A")+COUNTIF(M76,"A")+COUNTIF(O76,"A")+COUNTIF(Q76,"A")+COUNTIF(S76,"A")+COUNTIF(U76,"A")</f>
        <v/>
      </c>
      <c r="Y76" s="19" t="n"/>
      <c r="Z76" s="19">
        <f>IF(Y76="","",Y76-V76)</f>
        <v/>
      </c>
      <c r="AA76" s="21">
        <f>IF(OR(Y76="",Y76=0),"",V76/Y76)</f>
        <v/>
      </c>
      <c r="AB76" s="22">
        <f>IF(OR(Y76="",Y76=0),"",IF((10-W76-X76)&lt;=0,"N/A",Z76/(10-W76-X76)))</f>
        <v/>
      </c>
      <c r="AC76" s="19">
        <f>IF(W76=0,"",ROUND((V76/W76)*10,0))</f>
        <v/>
      </c>
    </row>
  </sheetData>
  <mergeCells count="5">
    <mergeCell ref="A41:AC41"/>
    <mergeCell ref="A1:AC1"/>
    <mergeCell ref="A22:AC22"/>
    <mergeCell ref="A3:AC3"/>
    <mergeCell ref="A60:AC60"/>
  </mergeCells>
  <conditionalFormatting sqref="AA5:AA19">
    <cfRule type="cellIs" priority="1" operator="greaterThanOrEqual" dxfId="0">
      <formula>1</formula>
    </cfRule>
    <cfRule type="cellIs" priority="2" operator="between" dxfId="1">
      <formula>0.5</formula>
      <formula>0.9999</formula>
    </cfRule>
    <cfRule type="cellIs" priority="3" operator="lessThan" dxfId="2">
      <formula>0.5</formula>
    </cfRule>
  </conditionalFormatting>
  <conditionalFormatting sqref="V5:V19">
    <cfRule type="expression" priority="4" dxfId="0">
      <formula>AND(V5&gt;=Y5,Y5&lt;&gt;"")</formula>
    </cfRule>
    <cfRule type="expression" priority="5" dxfId="2">
      <formula>AND(V5&lt;Y5,Y5&lt;&gt;"")</formula>
    </cfRule>
  </conditionalFormatting>
  <conditionalFormatting sqref="AB5:AB19">
    <cfRule type="expression" priority="6" dxfId="2">
      <formula>AND(ISNUMBER(AB5),W5&gt;0,AB5&gt;2*(V5/W5))</formula>
    </cfRule>
  </conditionalFormatting>
  <conditionalFormatting sqref="A5:A19">
    <cfRule type="expression" priority="7" dxfId="2">
      <formula>OR(AND(C5="A",E5="A"),AND(E5="A",G5="A"),AND(G5="A",I5="A"),AND(I5="A",K5="A"),AND(K5="A",M5="A"),AND(M5="A",O5="A"),AND(O5="A",Q5="A"),AND(Q5="A",S5="A"),AND(S5="A",U5="A"))</formula>
    </cfRule>
  </conditionalFormatting>
  <conditionalFormatting sqref="AA24:AA38">
    <cfRule type="cellIs" priority="8" operator="greaterThanOrEqual" dxfId="0">
      <formula>1</formula>
    </cfRule>
    <cfRule type="cellIs" priority="9" operator="between" dxfId="1">
      <formula>0.5</formula>
      <formula>0.9999</formula>
    </cfRule>
    <cfRule type="cellIs" priority="10" operator="lessThan" dxfId="2">
      <formula>0.5</formula>
    </cfRule>
  </conditionalFormatting>
  <conditionalFormatting sqref="V24:V38">
    <cfRule type="expression" priority="11" dxfId="0">
      <formula>AND(V24&gt;=Y24,Y24&lt;&gt;"")</formula>
    </cfRule>
    <cfRule type="expression" priority="12" dxfId="2">
      <formula>AND(V24&lt;Y24,Y24&lt;&gt;"")</formula>
    </cfRule>
  </conditionalFormatting>
  <conditionalFormatting sqref="AB24:AB38">
    <cfRule type="expression" priority="13" dxfId="2">
      <formula>AND(ISNUMBER(AB24),W24&gt;0,AB24&gt;2*(V24/W24))</formula>
    </cfRule>
  </conditionalFormatting>
  <conditionalFormatting sqref="A24:A38">
    <cfRule type="expression" priority="14" dxfId="2">
      <formula>OR(AND(C24="A",E24="A"),AND(E24="A",G24="A"),AND(G24="A",I24="A"),AND(I24="A",K24="A"),AND(K24="A",M24="A"),AND(M24="A",O24="A"),AND(O24="A",Q24="A"),AND(Q24="A",S24="A"),AND(S24="A",U24="A"))</formula>
    </cfRule>
  </conditionalFormatting>
  <conditionalFormatting sqref="AA43:AA57">
    <cfRule type="cellIs" priority="15" operator="greaterThanOrEqual" dxfId="0">
      <formula>1</formula>
    </cfRule>
    <cfRule type="cellIs" priority="16" operator="between" dxfId="1">
      <formula>0.5</formula>
      <formula>0.9999</formula>
    </cfRule>
    <cfRule type="cellIs" priority="17" operator="lessThan" dxfId="2">
      <formula>0.5</formula>
    </cfRule>
  </conditionalFormatting>
  <conditionalFormatting sqref="V43:V57">
    <cfRule type="expression" priority="18" dxfId="0">
      <formula>AND(V43&gt;=Y43,Y43&lt;&gt;"")</formula>
    </cfRule>
    <cfRule type="expression" priority="19" dxfId="2">
      <formula>AND(V43&lt;Y43,Y43&lt;&gt;"")</formula>
    </cfRule>
  </conditionalFormatting>
  <conditionalFormatting sqref="AB43:AB57">
    <cfRule type="expression" priority="20" dxfId="2">
      <formula>AND(ISNUMBER(AB43),W43&gt;0,AB43&gt;2*(V43/W43))</formula>
    </cfRule>
  </conditionalFormatting>
  <conditionalFormatting sqref="A43:A57">
    <cfRule type="expression" priority="21" dxfId="2">
      <formula>OR(AND(C43="A",E43="A"),AND(E43="A",G43="A"),AND(G43="A",I43="A"),AND(I43="A",K43="A"),AND(K43="A",M43="A"),AND(M43="A",O43="A"),AND(O43="A",Q43="A"),AND(Q43="A",S43="A"),AND(S43="A",U43="A"))</formula>
    </cfRule>
  </conditionalFormatting>
  <conditionalFormatting sqref="AA62:AA76">
    <cfRule type="cellIs" priority="22" operator="greaterThanOrEqual" dxfId="0">
      <formula>1</formula>
    </cfRule>
    <cfRule type="cellIs" priority="23" operator="between" dxfId="1">
      <formula>0.5</formula>
      <formula>0.9999</formula>
    </cfRule>
    <cfRule type="cellIs" priority="24" operator="lessThan" dxfId="2">
      <formula>0.5</formula>
    </cfRule>
  </conditionalFormatting>
  <conditionalFormatting sqref="V62:V76">
    <cfRule type="expression" priority="25" dxfId="0">
      <formula>AND(V62&gt;=Y62,Y62&lt;&gt;"")</formula>
    </cfRule>
    <cfRule type="expression" priority="26" dxfId="2">
      <formula>AND(V62&lt;Y62,Y62&lt;&gt;"")</formula>
    </cfRule>
  </conditionalFormatting>
  <conditionalFormatting sqref="AB62:AB76">
    <cfRule type="expression" priority="27" dxfId="2">
      <formula>AND(ISNUMBER(AB62),W62&gt;0,AB62&gt;2*(V62/W62))</formula>
    </cfRule>
  </conditionalFormatting>
  <conditionalFormatting sqref="A62:A76">
    <cfRule type="expression" priority="28" dxfId="2">
      <formula>OR(AND(C62="A",E62="A"),AND(E62="A",G62="A"),AND(G62="A",I62="A"),AND(I62="A",K62="A"),AND(K62="A",M62="A"),AND(M62="A",O62="A"),AND(O62="A",Q62="A"),AND(Q62="A",S62="A"),AND(S62="A",U62="A"))</formula>
    </cfRule>
  </conditionalFormatting>
  <dataValidations count="1">
    <dataValidation sqref="C5 C6 C7 C8 C9 C10 C11 C12 C13 C14 C15 C16 C17 C18 C19 C24 C25 C26 C27 C28 C29 C30 C31 C32 C33 C34 C35 C36 C37 C38 C43 C44 C45 C46 C47 C48 C49 C50 C51 C52 C53 C54 C55 C56 C57 C62 C63 C64 C65 C66 C67 C68 C69 C70 C71 C72 C73 C74 C75 C76 E5 E6 E7 E8 E9 E10 E11 E12 E13 E14 E15 E16 E17 E18 E19 E24 E25 E26 E27 E28 E29 E30 E31 E32 E33 E34 E35 E36 E37 E38 E43 E44 E45 E46 E47 E48 E49 E50 E51 E52 E53 E54 E55 E56 E57 E62 E63 E64 E65 E66 E67 E68 E69 E70 E71 E72 E73 E74 E75 E76 G5 G6 G7 G8 G9 G10 G11 G12 G13 G14 G15 G16 G17 G18 G19 G24 G25 G26 G27 G28 G29 G30 G31 G32 G33 G34 G35 G36 G37 G38 G43 G44 G45 G46 G47 G48 G49 G50 G51 G52 G53 G54 G55 G56 G57 G62 G63 G64 G65 G66 G67 G68 G69 G70 G71 G72 G73 G74 G75 G76 I5 I6 I7 I8 I9 I10 I11 I12 I13 I14 I15 I16 I17 I18 I19 I24 I25 I26 I27 I28 I29 I30 I31 I32 I33 I34 I35 I36 I37 I38 I43 I44 I45 I46 I47 I48 I49 I50 I51 I52 I53 I54 I55 I56 I57 I62 I63 I64 I65 I66 I67 I68 I69 I70 I71 I72 I73 I74 I75 I76 K5 K6 K7 K8 K9 K10 K11 K12 K13 K14 K15 K16 K17 K18 K19 K24 K25 K26 K27 K28 K29 K30 K31 K32 K33 K34 K35 K36 K37 K38 K43 K44 K45 K46 K47 K48 K49 K50 K51 K52 K53 K54 K55 K56 K57 K62 K63 K64 K65 K66 K67 K68 K69 K70 K71 K72 K73 K74 K75 K76 M5 M6 M7 M8 M9 M10 M11 M12 M13 M14 M15 M16 M17 M18 M19 M24 M25 M26 M27 M28 M29 M30 M31 M32 M33 M34 M35 M36 M37 M38 M43 M44 M45 M46 M47 M48 M49 M50 M51 M52 M53 M54 M55 M56 M57 M62 M63 M64 M65 M66 M67 M68 M69 M70 M71 M72 M73 M74 M75 M76 O5 O6 O7 O8 O9 O10 O11 O12 O13 O14 O15 O16 O17 O18 O19 O24 O25 O26 O27 O28 O29 O30 O31 O32 O33 O34 O35 O36 O37 O38 O43 O44 O45 O46 O47 O48 O49 O50 O51 O52 O53 O54 O55 O56 O57 O62 O63 O64 O65 O66 O67 O68 O69 O70 O71 O72 O73 O74 O75 O76 Q5 Q6 Q7 Q8 Q9 Q10 Q11 Q12 Q13 Q14 Q15 Q16 Q17 Q18 Q19 Q24 Q25 Q26 Q27 Q28 Q29 Q30 Q31 Q32 Q33 Q34 Q35 Q36 Q37 Q38 Q43 Q44 Q45 Q46 Q47 Q48 Q49 Q50 Q51 Q52 Q53 Q54 Q55 Q56 Q57 Q62 Q63 Q64 Q65 Q66 Q67 Q68 Q69 Q70 Q71 Q72 Q73 Q74 Q75 Q76 S5 S6 S7 S8 S9 S10 S11 S12 S13 S14 S15 S16 S17 S18 S19 S24 S25 S26 S27 S28 S29 S30 S31 S32 S33 S34 S35 S36 S37 S38 S43 S44 S45 S46 S47 S48 S49 S50 S51 S52 S53 S54 S55 S56 S57 S62 S63 S64 S65 S66 S67 S68 S69 S70 S71 S72 S73 S74 S75 S76 U5 U6 U7 U8 U9 U10 U11 U12 U13 U14 U15 U16 U17 U18 U19 U24 U25 U26 U27 U28 U29 U30 U31 U32 U33 U34 U35 U36 U37 U38 U43 U44 U45 U46 U47 U48 U49 U50 U51 U52 U53 U54 U55 U56 U57 U62 U63 U64 U65 U66 U67 U68 U69 U70 U71 U72 U73 U74 U75 U76" showDropDown="0" showInputMessage="0" showErrorMessage="1" allowBlank="1" errorTitle="Invalid" error="Enter P (Present), A (Absent), or R (Rescheduled)" type="list">
      <formula1>"P,A,R"</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6AA84F"/>
    <outlinePr summaryBelow="1" summaryRight="1"/>
    <pageSetUpPr fitToPage="1"/>
  </sheetPr>
  <dimension ref="A1:AC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c r="A1" s="15" t="inlineStr">
        <is>
          <t>Speech — SPED Minute Tracker</t>
        </is>
      </c>
    </row>
    <row r="3">
      <c r="A3" s="16" t="inlineStr">
        <is>
          <t>Q1 — Quarter 1</t>
        </is>
      </c>
    </row>
    <row r="4">
      <c r="A4" s="17" t="inlineStr">
        <is>
          <t>Student Name</t>
        </is>
      </c>
      <c r="B4" s="17" t="inlineStr">
        <is>
          <t>Sess 1</t>
        </is>
      </c>
      <c r="C4" s="17" t="inlineStr">
        <is>
          <t>Att 1</t>
        </is>
      </c>
      <c r="D4" s="17" t="inlineStr">
        <is>
          <t>Sess 2</t>
        </is>
      </c>
      <c r="E4" s="17" t="inlineStr">
        <is>
          <t>Att 2</t>
        </is>
      </c>
      <c r="F4" s="17" t="inlineStr">
        <is>
          <t>Sess 3</t>
        </is>
      </c>
      <c r="G4" s="17" t="inlineStr">
        <is>
          <t>Att 3</t>
        </is>
      </c>
      <c r="H4" s="17" t="inlineStr">
        <is>
          <t>Sess 4</t>
        </is>
      </c>
      <c r="I4" s="17" t="inlineStr">
        <is>
          <t>Att 4</t>
        </is>
      </c>
      <c r="J4" s="17" t="inlineStr">
        <is>
          <t>Sess 5</t>
        </is>
      </c>
      <c r="K4" s="17" t="inlineStr">
        <is>
          <t>Att 5</t>
        </is>
      </c>
      <c r="L4" s="17" t="inlineStr">
        <is>
          <t>Sess 6</t>
        </is>
      </c>
      <c r="M4" s="17" t="inlineStr">
        <is>
          <t>Att 6</t>
        </is>
      </c>
      <c r="N4" s="17" t="inlineStr">
        <is>
          <t>Sess 7</t>
        </is>
      </c>
      <c r="O4" s="17" t="inlineStr">
        <is>
          <t>Att 7</t>
        </is>
      </c>
      <c r="P4" s="17" t="inlineStr">
        <is>
          <t>Sess 8</t>
        </is>
      </c>
      <c r="Q4" s="17" t="inlineStr">
        <is>
          <t>Att 8</t>
        </is>
      </c>
      <c r="R4" s="17" t="inlineStr">
        <is>
          <t>Sess 9</t>
        </is>
      </c>
      <c r="S4" s="17" t="inlineStr">
        <is>
          <t>Att 9</t>
        </is>
      </c>
      <c r="T4" s="17" t="inlineStr">
        <is>
          <t>Sess 10</t>
        </is>
      </c>
      <c r="U4" s="17" t="inlineStr">
        <is>
          <t>Att 10</t>
        </is>
      </c>
      <c r="V4" s="17" t="inlineStr">
        <is>
          <t>Min Met</t>
        </is>
      </c>
      <c r="W4" s="17" t="inlineStr">
        <is>
          <t>Sess Att</t>
        </is>
      </c>
      <c r="X4" s="17" t="inlineStr">
        <is>
          <t>Absences</t>
        </is>
      </c>
      <c r="Y4" s="17" t="inlineStr">
        <is>
          <t>IEP Req</t>
        </is>
      </c>
      <c r="Z4" s="17" t="inlineStr">
        <is>
          <t>Min Remain</t>
        </is>
      </c>
      <c r="AA4" s="17" t="inlineStr">
        <is>
          <t>% Complete</t>
        </is>
      </c>
      <c r="AB4" s="17" t="inlineStr">
        <is>
          <t>Pace Needed</t>
        </is>
      </c>
      <c r="AC4" s="17" t="inlineStr">
        <is>
          <t>Projected</t>
        </is>
      </c>
    </row>
    <row r="5">
      <c r="A5" s="18" t="inlineStr">
        <is>
          <t>Raya Hightower</t>
        </is>
      </c>
      <c r="B5" s="19" t="n"/>
      <c r="C5" s="6" t="n"/>
      <c r="D5" s="19" t="n"/>
      <c r="E5" s="6" t="n"/>
      <c r="F5" s="19" t="n"/>
      <c r="G5" s="6" t="n"/>
      <c r="H5" s="19" t="n"/>
      <c r="I5" s="6" t="n"/>
      <c r="J5" s="19" t="n"/>
      <c r="K5" s="6" t="n"/>
      <c r="L5" s="19" t="n"/>
      <c r="M5" s="6" t="n"/>
      <c r="N5" s="19" t="n"/>
      <c r="O5" s="6" t="n"/>
      <c r="P5" s="19" t="n"/>
      <c r="Q5" s="6" t="n"/>
      <c r="R5" s="19" t="n"/>
      <c r="S5" s="6" t="n"/>
      <c r="T5" s="19" t="n"/>
      <c r="U5" s="6" t="n"/>
      <c r="V5" s="20">
        <f>SUM(B5,D5,F5,H5,J5,L5,N5,P5,R5,T5)</f>
        <v/>
      </c>
      <c r="W5" s="19">
        <f>COUNTIF(C5,"P")+COUNTIF(E5,"P")+COUNTIF(G5,"P")+COUNTIF(I5,"P")+COUNTIF(K5,"P")+COUNTIF(M5,"P")+COUNTIF(O5,"P")+COUNTIF(Q5,"P")+COUNTIF(S5,"P")+COUNTIF(U5,"P")</f>
        <v/>
      </c>
      <c r="X5" s="19">
        <f>COUNTIF(C5,"A")+COUNTIF(E5,"A")+COUNTIF(G5,"A")+COUNTIF(I5,"A")+COUNTIF(K5,"A")+COUNTIF(M5,"A")+COUNTIF(O5,"A")+COUNTIF(Q5,"A")+COUNTIF(S5,"A")+COUNTIF(U5,"A")</f>
        <v/>
      </c>
      <c r="Y5" s="19" t="n"/>
      <c r="Z5" s="19">
        <f>IF(Y5="","",Y5-V5)</f>
        <v/>
      </c>
      <c r="AA5" s="21">
        <f>IF(OR(Y5="",Y5=0),"",V5/Y5)</f>
        <v/>
      </c>
      <c r="AB5" s="22">
        <f>IF(OR(Y5="",Y5=0),"",IF((10-W5-X5)&lt;=0,"N/A",Z5/(10-W5-X5)))</f>
        <v/>
      </c>
      <c r="AC5" s="19">
        <f>IF(W5=0,"",ROUND((V5/W5)*10,0))</f>
        <v/>
      </c>
    </row>
    <row r="6">
      <c r="A6" s="18" t="inlineStr">
        <is>
          <t>Anu Vijay Anand</t>
        </is>
      </c>
      <c r="B6" s="19" t="n"/>
      <c r="C6" s="6" t="n"/>
      <c r="D6" s="19" t="n"/>
      <c r="E6" s="6" t="n"/>
      <c r="F6" s="19" t="n"/>
      <c r="G6" s="6" t="n"/>
      <c r="H6" s="19" t="n"/>
      <c r="I6" s="6" t="n"/>
      <c r="J6" s="19" t="n"/>
      <c r="K6" s="6" t="n"/>
      <c r="L6" s="19" t="n"/>
      <c r="M6" s="6" t="n"/>
      <c r="N6" s="19" t="n"/>
      <c r="O6" s="6" t="n"/>
      <c r="P6" s="19" t="n"/>
      <c r="Q6" s="6" t="n"/>
      <c r="R6" s="19" t="n"/>
      <c r="S6" s="6" t="n"/>
      <c r="T6" s="19" t="n"/>
      <c r="U6" s="6" t="n"/>
      <c r="V6" s="20">
        <f>SUM(B6,D6,F6,H6,J6,L6,N6,P6,R6,T6)</f>
        <v/>
      </c>
      <c r="W6" s="19">
        <f>COUNTIF(C6,"P")+COUNTIF(E6,"P")+COUNTIF(G6,"P")+COUNTIF(I6,"P")+COUNTIF(K6,"P")+COUNTIF(M6,"P")+COUNTIF(O6,"P")+COUNTIF(Q6,"P")+COUNTIF(S6,"P")+COUNTIF(U6,"P")</f>
        <v/>
      </c>
      <c r="X6" s="19">
        <f>COUNTIF(C6,"A")+COUNTIF(E6,"A")+COUNTIF(G6,"A")+COUNTIF(I6,"A")+COUNTIF(K6,"A")+COUNTIF(M6,"A")+COUNTIF(O6,"A")+COUNTIF(Q6,"A")+COUNTIF(S6,"A")+COUNTIF(U6,"A")</f>
        <v/>
      </c>
      <c r="Y6" s="19" t="n"/>
      <c r="Z6" s="19">
        <f>IF(Y6="","",Y6-V6)</f>
        <v/>
      </c>
      <c r="AA6" s="21">
        <f>IF(OR(Y6="",Y6=0),"",V6/Y6)</f>
        <v/>
      </c>
      <c r="AB6" s="22">
        <f>IF(OR(Y6="",Y6=0),"",IF((10-W6-X6)&lt;=0,"N/A",Z6/(10-W6-X6)))</f>
        <v/>
      </c>
      <c r="AC6" s="19">
        <f>IF(W6=0,"",ROUND((V6/W6)*10,0))</f>
        <v/>
      </c>
    </row>
    <row r="7">
      <c r="A7" s="18" t="inlineStr">
        <is>
          <t>Aadhya Gone</t>
        </is>
      </c>
      <c r="B7" s="19" t="n"/>
      <c r="C7" s="6" t="n"/>
      <c r="D7" s="19" t="n"/>
      <c r="E7" s="6" t="n"/>
      <c r="F7" s="19" t="n"/>
      <c r="G7" s="6" t="n"/>
      <c r="H7" s="19" t="n"/>
      <c r="I7" s="6" t="n"/>
      <c r="J7" s="19" t="n"/>
      <c r="K7" s="6" t="n"/>
      <c r="L7" s="19" t="n"/>
      <c r="M7" s="6" t="n"/>
      <c r="N7" s="19" t="n"/>
      <c r="O7" s="6" t="n"/>
      <c r="P7" s="19" t="n"/>
      <c r="Q7" s="6" t="n"/>
      <c r="R7" s="19" t="n"/>
      <c r="S7" s="6" t="n"/>
      <c r="T7" s="19" t="n"/>
      <c r="U7" s="6" t="n"/>
      <c r="V7" s="20">
        <f>SUM(B7,D7,F7,H7,J7,L7,N7,P7,R7,T7)</f>
        <v/>
      </c>
      <c r="W7" s="19">
        <f>COUNTIF(C7,"P")+COUNTIF(E7,"P")+COUNTIF(G7,"P")+COUNTIF(I7,"P")+COUNTIF(K7,"P")+COUNTIF(M7,"P")+COUNTIF(O7,"P")+COUNTIF(Q7,"P")+COUNTIF(S7,"P")+COUNTIF(U7,"P")</f>
        <v/>
      </c>
      <c r="X7" s="19">
        <f>COUNTIF(C7,"A")+COUNTIF(E7,"A")+COUNTIF(G7,"A")+COUNTIF(I7,"A")+COUNTIF(K7,"A")+COUNTIF(M7,"A")+COUNTIF(O7,"A")+COUNTIF(Q7,"A")+COUNTIF(S7,"A")+COUNTIF(U7,"A")</f>
        <v/>
      </c>
      <c r="Y7" s="19" t="n"/>
      <c r="Z7" s="19">
        <f>IF(Y7="","",Y7-V7)</f>
        <v/>
      </c>
      <c r="AA7" s="21">
        <f>IF(OR(Y7="",Y7=0),"",V7/Y7)</f>
        <v/>
      </c>
      <c r="AB7" s="22">
        <f>IF(OR(Y7="",Y7=0),"",IF((10-W7-X7)&lt;=0,"N/A",Z7/(10-W7-X7)))</f>
        <v/>
      </c>
      <c r="AC7" s="19">
        <f>IF(W7=0,"",ROUND((V7/W7)*10,0))</f>
        <v/>
      </c>
    </row>
    <row r="8">
      <c r="A8" s="18" t="inlineStr">
        <is>
          <t>Sumeyah Khan</t>
        </is>
      </c>
      <c r="B8" s="19" t="n"/>
      <c r="C8" s="6" t="n"/>
      <c r="D8" s="19" t="n"/>
      <c r="E8" s="6" t="n"/>
      <c r="F8" s="19" t="n"/>
      <c r="G8" s="6" t="n"/>
      <c r="H8" s="19" t="n"/>
      <c r="I8" s="6" t="n"/>
      <c r="J8" s="19" t="n"/>
      <c r="K8" s="6" t="n"/>
      <c r="L8" s="19" t="n"/>
      <c r="M8" s="6" t="n"/>
      <c r="N8" s="19" t="n"/>
      <c r="O8" s="6" t="n"/>
      <c r="P8" s="19" t="n"/>
      <c r="Q8" s="6" t="n"/>
      <c r="R8" s="19" t="n"/>
      <c r="S8" s="6" t="n"/>
      <c r="T8" s="19" t="n"/>
      <c r="U8" s="6" t="n"/>
      <c r="V8" s="20">
        <f>SUM(B8,D8,F8,H8,J8,L8,N8,P8,R8,T8)</f>
        <v/>
      </c>
      <c r="W8" s="19">
        <f>COUNTIF(C8,"P")+COUNTIF(E8,"P")+COUNTIF(G8,"P")+COUNTIF(I8,"P")+COUNTIF(K8,"P")+COUNTIF(M8,"P")+COUNTIF(O8,"P")+COUNTIF(Q8,"P")+COUNTIF(S8,"P")+COUNTIF(U8,"P")</f>
        <v/>
      </c>
      <c r="X8" s="19">
        <f>COUNTIF(C8,"A")+COUNTIF(E8,"A")+COUNTIF(G8,"A")+COUNTIF(I8,"A")+COUNTIF(K8,"A")+COUNTIF(M8,"A")+COUNTIF(O8,"A")+COUNTIF(Q8,"A")+COUNTIF(S8,"A")+COUNTIF(U8,"A")</f>
        <v/>
      </c>
      <c r="Y8" s="19" t="n"/>
      <c r="Z8" s="19">
        <f>IF(Y8="","",Y8-V8)</f>
        <v/>
      </c>
      <c r="AA8" s="21">
        <f>IF(OR(Y8="",Y8=0),"",V8/Y8)</f>
        <v/>
      </c>
      <c r="AB8" s="22">
        <f>IF(OR(Y8="",Y8=0),"",IF((10-W8-X8)&lt;=0,"N/A",Z8/(10-W8-X8)))</f>
        <v/>
      </c>
      <c r="AC8" s="19">
        <f>IF(W8=0,"",ROUND((V8/W8)*10,0))</f>
        <v/>
      </c>
    </row>
    <row r="9">
      <c r="A9" s="18" t="inlineStr">
        <is>
          <t>Maria Mujeeb</t>
        </is>
      </c>
      <c r="B9" s="19" t="n"/>
      <c r="C9" s="6" t="n"/>
      <c r="D9" s="19" t="n"/>
      <c r="E9" s="6" t="n"/>
      <c r="F9" s="19" t="n"/>
      <c r="G9" s="6" t="n"/>
      <c r="H9" s="19" t="n"/>
      <c r="I9" s="6" t="n"/>
      <c r="J9" s="19" t="n"/>
      <c r="K9" s="6" t="n"/>
      <c r="L9" s="19" t="n"/>
      <c r="M9" s="6" t="n"/>
      <c r="N9" s="19" t="n"/>
      <c r="O9" s="6" t="n"/>
      <c r="P9" s="19" t="n"/>
      <c r="Q9" s="6" t="n"/>
      <c r="R9" s="19" t="n"/>
      <c r="S9" s="6" t="n"/>
      <c r="T9" s="19" t="n"/>
      <c r="U9" s="6" t="n"/>
      <c r="V9" s="20">
        <f>SUM(B9,D9,F9,H9,J9,L9,N9,P9,R9,T9)</f>
        <v/>
      </c>
      <c r="W9" s="19">
        <f>COUNTIF(C9,"P")+COUNTIF(E9,"P")+COUNTIF(G9,"P")+COUNTIF(I9,"P")+COUNTIF(K9,"P")+COUNTIF(M9,"P")+COUNTIF(O9,"P")+COUNTIF(Q9,"P")+COUNTIF(S9,"P")+COUNTIF(U9,"P")</f>
        <v/>
      </c>
      <c r="X9" s="19">
        <f>COUNTIF(C9,"A")+COUNTIF(E9,"A")+COUNTIF(G9,"A")+COUNTIF(I9,"A")+COUNTIF(K9,"A")+COUNTIF(M9,"A")+COUNTIF(O9,"A")+COUNTIF(Q9,"A")+COUNTIF(S9,"A")+COUNTIF(U9,"A")</f>
        <v/>
      </c>
      <c r="Y9" s="19" t="n"/>
      <c r="Z9" s="19">
        <f>IF(Y9="","",Y9-V9)</f>
        <v/>
      </c>
      <c r="AA9" s="21">
        <f>IF(OR(Y9="",Y9=0),"",V9/Y9)</f>
        <v/>
      </c>
      <c r="AB9" s="22">
        <f>IF(OR(Y9="",Y9=0),"",IF((10-W9-X9)&lt;=0,"N/A",Z9/(10-W9-X9)))</f>
        <v/>
      </c>
      <c r="AC9" s="19">
        <f>IF(W9=0,"",ROUND((V9/W9)*10,0))</f>
        <v/>
      </c>
    </row>
    <row r="10">
      <c r="A10" s="18" t="inlineStr">
        <is>
          <t>Jace Ratliff</t>
        </is>
      </c>
      <c r="B10" s="19" t="n"/>
      <c r="C10" s="6" t="n"/>
      <c r="D10" s="19" t="n"/>
      <c r="E10" s="6" t="n"/>
      <c r="F10" s="19" t="n"/>
      <c r="G10" s="6" t="n"/>
      <c r="H10" s="19" t="n"/>
      <c r="I10" s="6" t="n"/>
      <c r="J10" s="19" t="n"/>
      <c r="K10" s="6" t="n"/>
      <c r="L10" s="19" t="n"/>
      <c r="M10" s="6" t="n"/>
      <c r="N10" s="19" t="n"/>
      <c r="O10" s="6" t="n"/>
      <c r="P10" s="19" t="n"/>
      <c r="Q10" s="6" t="n"/>
      <c r="R10" s="19" t="n"/>
      <c r="S10" s="6" t="n"/>
      <c r="T10" s="19" t="n"/>
      <c r="U10" s="6" t="n"/>
      <c r="V10" s="20">
        <f>SUM(B10,D10,F10,H10,J10,L10,N10,P10,R10,T10)</f>
        <v/>
      </c>
      <c r="W10" s="19">
        <f>COUNTIF(C10,"P")+COUNTIF(E10,"P")+COUNTIF(G10,"P")+COUNTIF(I10,"P")+COUNTIF(K10,"P")+COUNTIF(M10,"P")+COUNTIF(O10,"P")+COUNTIF(Q10,"P")+COUNTIF(S10,"P")+COUNTIF(U10,"P")</f>
        <v/>
      </c>
      <c r="X10" s="19">
        <f>COUNTIF(C10,"A")+COUNTIF(E10,"A")+COUNTIF(G10,"A")+COUNTIF(I10,"A")+COUNTIF(K10,"A")+COUNTIF(M10,"A")+COUNTIF(O10,"A")+COUNTIF(Q10,"A")+COUNTIF(S10,"A")+COUNTIF(U10,"A")</f>
        <v/>
      </c>
      <c r="Y10" s="19" t="n"/>
      <c r="Z10" s="19">
        <f>IF(Y10="","",Y10-V10)</f>
        <v/>
      </c>
      <c r="AA10" s="21">
        <f>IF(OR(Y10="",Y10=0),"",V10/Y10)</f>
        <v/>
      </c>
      <c r="AB10" s="22">
        <f>IF(OR(Y10="",Y10=0),"",IF((10-W10-X10)&lt;=0,"N/A",Z10/(10-W10-X10)))</f>
        <v/>
      </c>
      <c r="AC10" s="19">
        <f>IF(W10=0,"",ROUND((V10/W10)*10,0))</f>
        <v/>
      </c>
    </row>
    <row r="11">
      <c r="A11" s="18" t="inlineStr">
        <is>
          <t>Evan Allen</t>
        </is>
      </c>
      <c r="B11" s="19" t="n"/>
      <c r="C11" s="6" t="n"/>
      <c r="D11" s="19" t="n"/>
      <c r="E11" s="6" t="n"/>
      <c r="F11" s="19" t="n"/>
      <c r="G11" s="6" t="n"/>
      <c r="H11" s="19" t="n"/>
      <c r="I11" s="6" t="n"/>
      <c r="J11" s="19" t="n"/>
      <c r="K11" s="6" t="n"/>
      <c r="L11" s="19" t="n"/>
      <c r="M11" s="6" t="n"/>
      <c r="N11" s="19" t="n"/>
      <c r="O11" s="6" t="n"/>
      <c r="P11" s="19" t="n"/>
      <c r="Q11" s="6" t="n"/>
      <c r="R11" s="19" t="n"/>
      <c r="S11" s="6" t="n"/>
      <c r="T11" s="19" t="n"/>
      <c r="U11" s="6" t="n"/>
      <c r="V11" s="20">
        <f>SUM(B11,D11,F11,H11,J11,L11,N11,P11,R11,T11)</f>
        <v/>
      </c>
      <c r="W11" s="19">
        <f>COUNTIF(C11,"P")+COUNTIF(E11,"P")+COUNTIF(G11,"P")+COUNTIF(I11,"P")+COUNTIF(K11,"P")+COUNTIF(M11,"P")+COUNTIF(O11,"P")+COUNTIF(Q11,"P")+COUNTIF(S11,"P")+COUNTIF(U11,"P")</f>
        <v/>
      </c>
      <c r="X11" s="19">
        <f>COUNTIF(C11,"A")+COUNTIF(E11,"A")+COUNTIF(G11,"A")+COUNTIF(I11,"A")+COUNTIF(K11,"A")+COUNTIF(M11,"A")+COUNTIF(O11,"A")+COUNTIF(Q11,"A")+COUNTIF(S11,"A")+COUNTIF(U11,"A")</f>
        <v/>
      </c>
      <c r="Y11" s="19" t="n"/>
      <c r="Z11" s="19">
        <f>IF(Y11="","",Y11-V11)</f>
        <v/>
      </c>
      <c r="AA11" s="21">
        <f>IF(OR(Y11="",Y11=0),"",V11/Y11)</f>
        <v/>
      </c>
      <c r="AB11" s="22">
        <f>IF(OR(Y11="",Y11=0),"",IF((10-W11-X11)&lt;=0,"N/A",Z11/(10-W11-X11)))</f>
        <v/>
      </c>
      <c r="AC11" s="19">
        <f>IF(W11=0,"",ROUND((V11/W11)*10,0))</f>
        <v/>
      </c>
    </row>
    <row r="12">
      <c r="A12" s="18" t="inlineStr">
        <is>
          <t>Sai Neelagiri</t>
        </is>
      </c>
      <c r="B12" s="19" t="n"/>
      <c r="C12" s="6" t="n"/>
      <c r="D12" s="19" t="n"/>
      <c r="E12" s="6" t="n"/>
      <c r="F12" s="19" t="n"/>
      <c r="G12" s="6" t="n"/>
      <c r="H12" s="19" t="n"/>
      <c r="I12" s="6" t="n"/>
      <c r="J12" s="19" t="n"/>
      <c r="K12" s="6" t="n"/>
      <c r="L12" s="19" t="n"/>
      <c r="M12" s="6" t="n"/>
      <c r="N12" s="19" t="n"/>
      <c r="O12" s="6" t="n"/>
      <c r="P12" s="19" t="n"/>
      <c r="Q12" s="6" t="n"/>
      <c r="R12" s="19" t="n"/>
      <c r="S12" s="6" t="n"/>
      <c r="T12" s="19" t="n"/>
      <c r="U12" s="6" t="n"/>
      <c r="V12" s="20">
        <f>SUM(B12,D12,F12,H12,J12,L12,N12,P12,R12,T12)</f>
        <v/>
      </c>
      <c r="W12" s="19">
        <f>COUNTIF(C12,"P")+COUNTIF(E12,"P")+COUNTIF(G12,"P")+COUNTIF(I12,"P")+COUNTIF(K12,"P")+COUNTIF(M12,"P")+COUNTIF(O12,"P")+COUNTIF(Q12,"P")+COUNTIF(S12,"P")+COUNTIF(U12,"P")</f>
        <v/>
      </c>
      <c r="X12" s="19">
        <f>COUNTIF(C12,"A")+COUNTIF(E12,"A")+COUNTIF(G12,"A")+COUNTIF(I12,"A")+COUNTIF(K12,"A")+COUNTIF(M12,"A")+COUNTIF(O12,"A")+COUNTIF(Q12,"A")+COUNTIF(S12,"A")+COUNTIF(U12,"A")</f>
        <v/>
      </c>
      <c r="Y12" s="19" t="n"/>
      <c r="Z12" s="19">
        <f>IF(Y12="","",Y12-V12)</f>
        <v/>
      </c>
      <c r="AA12" s="21">
        <f>IF(OR(Y12="",Y12=0),"",V12/Y12)</f>
        <v/>
      </c>
      <c r="AB12" s="22">
        <f>IF(OR(Y12="",Y12=0),"",IF((10-W12-X12)&lt;=0,"N/A",Z12/(10-W12-X12)))</f>
        <v/>
      </c>
      <c r="AC12" s="19">
        <f>IF(W12=0,"",ROUND((V12/W12)*10,0))</f>
        <v/>
      </c>
    </row>
    <row r="13">
      <c r="A13" s="18" t="inlineStr">
        <is>
          <t>Fletcher Meese</t>
        </is>
      </c>
      <c r="B13" s="19" t="n"/>
      <c r="C13" s="6" t="n"/>
      <c r="D13" s="19" t="n"/>
      <c r="E13" s="6" t="n"/>
      <c r="F13" s="19" t="n"/>
      <c r="G13" s="6" t="n"/>
      <c r="H13" s="19" t="n"/>
      <c r="I13" s="6" t="n"/>
      <c r="J13" s="19" t="n"/>
      <c r="K13" s="6" t="n"/>
      <c r="L13" s="19" t="n"/>
      <c r="M13" s="6" t="n"/>
      <c r="N13" s="19" t="n"/>
      <c r="O13" s="6" t="n"/>
      <c r="P13" s="19" t="n"/>
      <c r="Q13" s="6" t="n"/>
      <c r="R13" s="19" t="n"/>
      <c r="S13" s="6" t="n"/>
      <c r="T13" s="19" t="n"/>
      <c r="U13" s="6" t="n"/>
      <c r="V13" s="20">
        <f>SUM(B13,D13,F13,H13,J13,L13,N13,P13,R13,T13)</f>
        <v/>
      </c>
      <c r="W13" s="19">
        <f>COUNTIF(C13,"P")+COUNTIF(E13,"P")+COUNTIF(G13,"P")+COUNTIF(I13,"P")+COUNTIF(K13,"P")+COUNTIF(M13,"P")+COUNTIF(O13,"P")+COUNTIF(Q13,"P")+COUNTIF(S13,"P")+COUNTIF(U13,"P")</f>
        <v/>
      </c>
      <c r="X13" s="19">
        <f>COUNTIF(C13,"A")+COUNTIF(E13,"A")+COUNTIF(G13,"A")+COUNTIF(I13,"A")+COUNTIF(K13,"A")+COUNTIF(M13,"A")+COUNTIF(O13,"A")+COUNTIF(Q13,"A")+COUNTIF(S13,"A")+COUNTIF(U13,"A")</f>
        <v/>
      </c>
      <c r="Y13" s="19" t="n"/>
      <c r="Z13" s="19">
        <f>IF(Y13="","",Y13-V13)</f>
        <v/>
      </c>
      <c r="AA13" s="21">
        <f>IF(OR(Y13="",Y13=0),"",V13/Y13)</f>
        <v/>
      </c>
      <c r="AB13" s="22">
        <f>IF(OR(Y13="",Y13=0),"",IF((10-W13-X13)&lt;=0,"N/A",Z13/(10-W13-X13)))</f>
        <v/>
      </c>
      <c r="AC13" s="19">
        <f>IF(W13=0,"",ROUND((V13/W13)*10,0))</f>
        <v/>
      </c>
    </row>
    <row r="14">
      <c r="A14" s="18" t="inlineStr">
        <is>
          <t>Elijah Aldaco</t>
        </is>
      </c>
      <c r="B14" s="19" t="n"/>
      <c r="C14" s="6" t="n"/>
      <c r="D14" s="19" t="n"/>
      <c r="E14" s="6" t="n"/>
      <c r="F14" s="19" t="n"/>
      <c r="G14" s="6" t="n"/>
      <c r="H14" s="19" t="n"/>
      <c r="I14" s="6" t="n"/>
      <c r="J14" s="19" t="n"/>
      <c r="K14" s="6" t="n"/>
      <c r="L14" s="19" t="n"/>
      <c r="M14" s="6" t="n"/>
      <c r="N14" s="19" t="n"/>
      <c r="O14" s="6" t="n"/>
      <c r="P14" s="19" t="n"/>
      <c r="Q14" s="6" t="n"/>
      <c r="R14" s="19" t="n"/>
      <c r="S14" s="6" t="n"/>
      <c r="T14" s="19" t="n"/>
      <c r="U14" s="6" t="n"/>
      <c r="V14" s="20">
        <f>SUM(B14,D14,F14,H14,J14,L14,N14,P14,R14,T14)</f>
        <v/>
      </c>
      <c r="W14" s="19">
        <f>COUNTIF(C14,"P")+COUNTIF(E14,"P")+COUNTIF(G14,"P")+COUNTIF(I14,"P")+COUNTIF(K14,"P")+COUNTIF(M14,"P")+COUNTIF(O14,"P")+COUNTIF(Q14,"P")+COUNTIF(S14,"P")+COUNTIF(U14,"P")</f>
        <v/>
      </c>
      <c r="X14" s="19">
        <f>COUNTIF(C14,"A")+COUNTIF(E14,"A")+COUNTIF(G14,"A")+COUNTIF(I14,"A")+COUNTIF(K14,"A")+COUNTIF(M14,"A")+COUNTIF(O14,"A")+COUNTIF(Q14,"A")+COUNTIF(S14,"A")+COUNTIF(U14,"A")</f>
        <v/>
      </c>
      <c r="Y14" s="19" t="n"/>
      <c r="Z14" s="19">
        <f>IF(Y14="","",Y14-V14)</f>
        <v/>
      </c>
      <c r="AA14" s="21">
        <f>IF(OR(Y14="",Y14=0),"",V14/Y14)</f>
        <v/>
      </c>
      <c r="AB14" s="22">
        <f>IF(OR(Y14="",Y14=0),"",IF((10-W14-X14)&lt;=0,"N/A",Z14/(10-W14-X14)))</f>
        <v/>
      </c>
      <c r="AC14" s="19">
        <f>IF(W14=0,"",ROUND((V14/W14)*10,0))</f>
        <v/>
      </c>
    </row>
    <row r="15">
      <c r="A15" s="18" t="inlineStr">
        <is>
          <t>Cain Gutierrez</t>
        </is>
      </c>
      <c r="B15" s="19" t="n"/>
      <c r="C15" s="6" t="n"/>
      <c r="D15" s="19" t="n"/>
      <c r="E15" s="6" t="n"/>
      <c r="F15" s="19" t="n"/>
      <c r="G15" s="6" t="n"/>
      <c r="H15" s="19" t="n"/>
      <c r="I15" s="6" t="n"/>
      <c r="J15" s="19" t="n"/>
      <c r="K15" s="6" t="n"/>
      <c r="L15" s="19" t="n"/>
      <c r="M15" s="6" t="n"/>
      <c r="N15" s="19" t="n"/>
      <c r="O15" s="6" t="n"/>
      <c r="P15" s="19" t="n"/>
      <c r="Q15" s="6" t="n"/>
      <c r="R15" s="19" t="n"/>
      <c r="S15" s="6" t="n"/>
      <c r="T15" s="19" t="n"/>
      <c r="U15" s="6" t="n"/>
      <c r="V15" s="20">
        <f>SUM(B15,D15,F15,H15,J15,L15,N15,P15,R15,T15)</f>
        <v/>
      </c>
      <c r="W15" s="19">
        <f>COUNTIF(C15,"P")+COUNTIF(E15,"P")+COUNTIF(G15,"P")+COUNTIF(I15,"P")+COUNTIF(K15,"P")+COUNTIF(M15,"P")+COUNTIF(O15,"P")+COUNTIF(Q15,"P")+COUNTIF(S15,"P")+COUNTIF(U15,"P")</f>
        <v/>
      </c>
      <c r="X15" s="19">
        <f>COUNTIF(C15,"A")+COUNTIF(E15,"A")+COUNTIF(G15,"A")+COUNTIF(I15,"A")+COUNTIF(K15,"A")+COUNTIF(M15,"A")+COUNTIF(O15,"A")+COUNTIF(Q15,"A")+COUNTIF(S15,"A")+COUNTIF(U15,"A")</f>
        <v/>
      </c>
      <c r="Y15" s="19" t="n"/>
      <c r="Z15" s="19">
        <f>IF(Y15="","",Y15-V15)</f>
        <v/>
      </c>
      <c r="AA15" s="21">
        <f>IF(OR(Y15="",Y15=0),"",V15/Y15)</f>
        <v/>
      </c>
      <c r="AB15" s="22">
        <f>IF(OR(Y15="",Y15=0),"",IF((10-W15-X15)&lt;=0,"N/A",Z15/(10-W15-X15)))</f>
        <v/>
      </c>
      <c r="AC15" s="19">
        <f>IF(W15=0,"",ROUND((V15/W15)*10,0))</f>
        <v/>
      </c>
    </row>
    <row r="16">
      <c r="A16" s="18" t="inlineStr">
        <is>
          <t>Grayson Barnhart</t>
        </is>
      </c>
      <c r="B16" s="19" t="n"/>
      <c r="C16" s="6" t="n"/>
      <c r="D16" s="19" t="n"/>
      <c r="E16" s="6" t="n"/>
      <c r="F16" s="19" t="n"/>
      <c r="G16" s="6" t="n"/>
      <c r="H16" s="19" t="n"/>
      <c r="I16" s="6" t="n"/>
      <c r="J16" s="19" t="n"/>
      <c r="K16" s="6" t="n"/>
      <c r="L16" s="19" t="n"/>
      <c r="M16" s="6" t="n"/>
      <c r="N16" s="19" t="n"/>
      <c r="O16" s="6" t="n"/>
      <c r="P16" s="19" t="n"/>
      <c r="Q16" s="6" t="n"/>
      <c r="R16" s="19" t="n"/>
      <c r="S16" s="6" t="n"/>
      <c r="T16" s="19" t="n"/>
      <c r="U16" s="6" t="n"/>
      <c r="V16" s="20">
        <f>SUM(B16,D16,F16,H16,J16,L16,N16,P16,R16,T16)</f>
        <v/>
      </c>
      <c r="W16" s="19">
        <f>COUNTIF(C16,"P")+COUNTIF(E16,"P")+COUNTIF(G16,"P")+COUNTIF(I16,"P")+COUNTIF(K16,"P")+COUNTIF(M16,"P")+COUNTIF(O16,"P")+COUNTIF(Q16,"P")+COUNTIF(S16,"P")+COUNTIF(U16,"P")</f>
        <v/>
      </c>
      <c r="X16" s="19">
        <f>COUNTIF(C16,"A")+COUNTIF(E16,"A")+COUNTIF(G16,"A")+COUNTIF(I16,"A")+COUNTIF(K16,"A")+COUNTIF(M16,"A")+COUNTIF(O16,"A")+COUNTIF(Q16,"A")+COUNTIF(S16,"A")+COUNTIF(U16,"A")</f>
        <v/>
      </c>
      <c r="Y16" s="19" t="n"/>
      <c r="Z16" s="19">
        <f>IF(Y16="","",Y16-V16)</f>
        <v/>
      </c>
      <c r="AA16" s="21">
        <f>IF(OR(Y16="",Y16=0),"",V16/Y16)</f>
        <v/>
      </c>
      <c r="AB16" s="22">
        <f>IF(OR(Y16="",Y16=0),"",IF((10-W16-X16)&lt;=0,"N/A",Z16/(10-W16-X16)))</f>
        <v/>
      </c>
      <c r="AC16" s="19">
        <f>IF(W16=0,"",ROUND((V16/W16)*10,0))</f>
        <v/>
      </c>
    </row>
    <row r="17">
      <c r="A17" s="18" t="inlineStr">
        <is>
          <t>Abel Abraham</t>
        </is>
      </c>
      <c r="B17" s="19" t="n"/>
      <c r="C17" s="6" t="n"/>
      <c r="D17" s="19" t="n"/>
      <c r="E17" s="6" t="n"/>
      <c r="F17" s="19" t="n"/>
      <c r="G17" s="6" t="n"/>
      <c r="H17" s="19" t="n"/>
      <c r="I17" s="6" t="n"/>
      <c r="J17" s="19" t="n"/>
      <c r="K17" s="6" t="n"/>
      <c r="L17" s="19" t="n"/>
      <c r="M17" s="6" t="n"/>
      <c r="N17" s="19" t="n"/>
      <c r="O17" s="6" t="n"/>
      <c r="P17" s="19" t="n"/>
      <c r="Q17" s="6" t="n"/>
      <c r="R17" s="19" t="n"/>
      <c r="S17" s="6" t="n"/>
      <c r="T17" s="19" t="n"/>
      <c r="U17" s="6" t="n"/>
      <c r="V17" s="20">
        <f>SUM(B17,D17,F17,H17,J17,L17,N17,P17,R17,T17)</f>
        <v/>
      </c>
      <c r="W17" s="19">
        <f>COUNTIF(C17,"P")+COUNTIF(E17,"P")+COUNTIF(G17,"P")+COUNTIF(I17,"P")+COUNTIF(K17,"P")+COUNTIF(M17,"P")+COUNTIF(O17,"P")+COUNTIF(Q17,"P")+COUNTIF(S17,"P")+COUNTIF(U17,"P")</f>
        <v/>
      </c>
      <c r="X17" s="19">
        <f>COUNTIF(C17,"A")+COUNTIF(E17,"A")+COUNTIF(G17,"A")+COUNTIF(I17,"A")+COUNTIF(K17,"A")+COUNTIF(M17,"A")+COUNTIF(O17,"A")+COUNTIF(Q17,"A")+COUNTIF(S17,"A")+COUNTIF(U17,"A")</f>
        <v/>
      </c>
      <c r="Y17" s="19" t="n"/>
      <c r="Z17" s="19">
        <f>IF(Y17="","",Y17-V17)</f>
        <v/>
      </c>
      <c r="AA17" s="21">
        <f>IF(OR(Y17="",Y17=0),"",V17/Y17)</f>
        <v/>
      </c>
      <c r="AB17" s="22">
        <f>IF(OR(Y17="",Y17=0),"",IF((10-W17-X17)&lt;=0,"N/A",Z17/(10-W17-X17)))</f>
        <v/>
      </c>
      <c r="AC17" s="19">
        <f>IF(W17=0,"",ROUND((V17/W17)*10,0))</f>
        <v/>
      </c>
    </row>
    <row r="18">
      <c r="A18" s="18" t="inlineStr">
        <is>
          <t>John Joby</t>
        </is>
      </c>
      <c r="B18" s="19" t="n"/>
      <c r="C18" s="6" t="n"/>
      <c r="D18" s="19" t="n"/>
      <c r="E18" s="6" t="n"/>
      <c r="F18" s="19" t="n"/>
      <c r="G18" s="6" t="n"/>
      <c r="H18" s="19" t="n"/>
      <c r="I18" s="6" t="n"/>
      <c r="J18" s="19" t="n"/>
      <c r="K18" s="6" t="n"/>
      <c r="L18" s="19" t="n"/>
      <c r="M18" s="6" t="n"/>
      <c r="N18" s="19" t="n"/>
      <c r="O18" s="6" t="n"/>
      <c r="P18" s="19" t="n"/>
      <c r="Q18" s="6" t="n"/>
      <c r="R18" s="19" t="n"/>
      <c r="S18" s="6" t="n"/>
      <c r="T18" s="19" t="n"/>
      <c r="U18" s="6" t="n"/>
      <c r="V18" s="20">
        <f>SUM(B18,D18,F18,H18,J18,L18,N18,P18,R18,T18)</f>
        <v/>
      </c>
      <c r="W18" s="19">
        <f>COUNTIF(C18,"P")+COUNTIF(E18,"P")+COUNTIF(G18,"P")+COUNTIF(I18,"P")+COUNTIF(K18,"P")+COUNTIF(M18,"P")+COUNTIF(O18,"P")+COUNTIF(Q18,"P")+COUNTIF(S18,"P")+COUNTIF(U18,"P")</f>
        <v/>
      </c>
      <c r="X18" s="19">
        <f>COUNTIF(C18,"A")+COUNTIF(E18,"A")+COUNTIF(G18,"A")+COUNTIF(I18,"A")+COUNTIF(K18,"A")+COUNTIF(M18,"A")+COUNTIF(O18,"A")+COUNTIF(Q18,"A")+COUNTIF(S18,"A")+COUNTIF(U18,"A")</f>
        <v/>
      </c>
      <c r="Y18" s="19" t="n"/>
      <c r="Z18" s="19">
        <f>IF(Y18="","",Y18-V18)</f>
        <v/>
      </c>
      <c r="AA18" s="21">
        <f>IF(OR(Y18="",Y18=0),"",V18/Y18)</f>
        <v/>
      </c>
      <c r="AB18" s="22">
        <f>IF(OR(Y18="",Y18=0),"",IF((10-W18-X18)&lt;=0,"N/A",Z18/(10-W18-X18)))</f>
        <v/>
      </c>
      <c r="AC18" s="19">
        <f>IF(W18=0,"",ROUND((V18/W18)*10,0))</f>
        <v/>
      </c>
    </row>
    <row r="19">
      <c r="A19" s="18" t="inlineStr">
        <is>
          <t>Jason Bean</t>
        </is>
      </c>
      <c r="B19" s="19" t="n"/>
      <c r="C19" s="6" t="n"/>
      <c r="D19" s="19" t="n"/>
      <c r="E19" s="6" t="n"/>
      <c r="F19" s="19" t="n"/>
      <c r="G19" s="6" t="n"/>
      <c r="H19" s="19" t="n"/>
      <c r="I19" s="6" t="n"/>
      <c r="J19" s="19" t="n"/>
      <c r="K19" s="6" t="n"/>
      <c r="L19" s="19" t="n"/>
      <c r="M19" s="6" t="n"/>
      <c r="N19" s="19" t="n"/>
      <c r="O19" s="6" t="n"/>
      <c r="P19" s="19" t="n"/>
      <c r="Q19" s="6" t="n"/>
      <c r="R19" s="19" t="n"/>
      <c r="S19" s="6" t="n"/>
      <c r="T19" s="19" t="n"/>
      <c r="U19" s="6" t="n"/>
      <c r="V19" s="20">
        <f>SUM(B19,D19,F19,H19,J19,L19,N19,P19,R19,T19)</f>
        <v/>
      </c>
      <c r="W19" s="19">
        <f>COUNTIF(C19,"P")+COUNTIF(E19,"P")+COUNTIF(G19,"P")+COUNTIF(I19,"P")+COUNTIF(K19,"P")+COUNTIF(M19,"P")+COUNTIF(O19,"P")+COUNTIF(Q19,"P")+COUNTIF(S19,"P")+COUNTIF(U19,"P")</f>
        <v/>
      </c>
      <c r="X19" s="19">
        <f>COUNTIF(C19,"A")+COUNTIF(E19,"A")+COUNTIF(G19,"A")+COUNTIF(I19,"A")+COUNTIF(K19,"A")+COUNTIF(M19,"A")+COUNTIF(O19,"A")+COUNTIF(Q19,"A")+COUNTIF(S19,"A")+COUNTIF(U19,"A")</f>
        <v/>
      </c>
      <c r="Y19" s="19" t="n"/>
      <c r="Z19" s="19">
        <f>IF(Y19="","",Y19-V19)</f>
        <v/>
      </c>
      <c r="AA19" s="21">
        <f>IF(OR(Y19="",Y19=0),"",V19/Y19)</f>
        <v/>
      </c>
      <c r="AB19" s="22">
        <f>IF(OR(Y19="",Y19=0),"",IF((10-W19-X19)&lt;=0,"N/A",Z19/(10-W19-X19)))</f>
        <v/>
      </c>
      <c r="AC19" s="19">
        <f>IF(W19=0,"",ROUND((V19/W19)*10,0))</f>
        <v/>
      </c>
    </row>
    <row r="22">
      <c r="A22" s="24" t="inlineStr">
        <is>
          <t>Q2 — Quarter 2</t>
        </is>
      </c>
    </row>
    <row r="23">
      <c r="A23" s="17" t="inlineStr">
        <is>
          <t>Student Name</t>
        </is>
      </c>
      <c r="B23" s="17" t="inlineStr">
        <is>
          <t>Sess 1</t>
        </is>
      </c>
      <c r="C23" s="17" t="inlineStr">
        <is>
          <t>Att 1</t>
        </is>
      </c>
      <c r="D23" s="17" t="inlineStr">
        <is>
          <t>Sess 2</t>
        </is>
      </c>
      <c r="E23" s="17" t="inlineStr">
        <is>
          <t>Att 2</t>
        </is>
      </c>
      <c r="F23" s="17" t="inlineStr">
        <is>
          <t>Sess 3</t>
        </is>
      </c>
      <c r="G23" s="17" t="inlineStr">
        <is>
          <t>Att 3</t>
        </is>
      </c>
      <c r="H23" s="17" t="inlineStr">
        <is>
          <t>Sess 4</t>
        </is>
      </c>
      <c r="I23" s="17" t="inlineStr">
        <is>
          <t>Att 4</t>
        </is>
      </c>
      <c r="J23" s="17" t="inlineStr">
        <is>
          <t>Sess 5</t>
        </is>
      </c>
      <c r="K23" s="17" t="inlineStr">
        <is>
          <t>Att 5</t>
        </is>
      </c>
      <c r="L23" s="17" t="inlineStr">
        <is>
          <t>Sess 6</t>
        </is>
      </c>
      <c r="M23" s="17" t="inlineStr">
        <is>
          <t>Att 6</t>
        </is>
      </c>
      <c r="N23" s="17" t="inlineStr">
        <is>
          <t>Sess 7</t>
        </is>
      </c>
      <c r="O23" s="17" t="inlineStr">
        <is>
          <t>Att 7</t>
        </is>
      </c>
      <c r="P23" s="17" t="inlineStr">
        <is>
          <t>Sess 8</t>
        </is>
      </c>
      <c r="Q23" s="17" t="inlineStr">
        <is>
          <t>Att 8</t>
        </is>
      </c>
      <c r="R23" s="17" t="inlineStr">
        <is>
          <t>Sess 9</t>
        </is>
      </c>
      <c r="S23" s="17" t="inlineStr">
        <is>
          <t>Att 9</t>
        </is>
      </c>
      <c r="T23" s="17" t="inlineStr">
        <is>
          <t>Sess 10</t>
        </is>
      </c>
      <c r="U23" s="17" t="inlineStr">
        <is>
          <t>Att 10</t>
        </is>
      </c>
      <c r="V23" s="17" t="inlineStr">
        <is>
          <t>Min Met</t>
        </is>
      </c>
      <c r="W23" s="17" t="inlineStr">
        <is>
          <t>Sess Att</t>
        </is>
      </c>
      <c r="X23" s="17" t="inlineStr">
        <is>
          <t>Absences</t>
        </is>
      </c>
      <c r="Y23" s="17" t="inlineStr">
        <is>
          <t>IEP Req</t>
        </is>
      </c>
      <c r="Z23" s="17" t="inlineStr">
        <is>
          <t>Min Remain</t>
        </is>
      </c>
      <c r="AA23" s="17" t="inlineStr">
        <is>
          <t>% Complete</t>
        </is>
      </c>
      <c r="AB23" s="17" t="inlineStr">
        <is>
          <t>Pace Needed</t>
        </is>
      </c>
      <c r="AC23" s="17" t="inlineStr">
        <is>
          <t>Projected</t>
        </is>
      </c>
    </row>
    <row r="24">
      <c r="A24" s="18" t="inlineStr">
        <is>
          <t>Raya Hightower</t>
        </is>
      </c>
      <c r="B24" s="19" t="n"/>
      <c r="C24" s="6" t="n"/>
      <c r="D24" s="19" t="n"/>
      <c r="E24" s="6" t="n"/>
      <c r="F24" s="19" t="n"/>
      <c r="G24" s="6" t="n"/>
      <c r="H24" s="19" t="n"/>
      <c r="I24" s="6" t="n"/>
      <c r="J24" s="19" t="n"/>
      <c r="K24" s="6" t="n"/>
      <c r="L24" s="19" t="n"/>
      <c r="M24" s="6" t="n"/>
      <c r="N24" s="19" t="n"/>
      <c r="O24" s="6" t="n"/>
      <c r="P24" s="19" t="n"/>
      <c r="Q24" s="6" t="n"/>
      <c r="R24" s="19" t="n"/>
      <c r="S24" s="6" t="n"/>
      <c r="T24" s="19" t="n"/>
      <c r="U24" s="6" t="n"/>
      <c r="V24" s="20">
        <f>SUM(B24,D24,F24,H24,J24,L24,N24,P24,R24,T24)</f>
        <v/>
      </c>
      <c r="W24" s="19">
        <f>COUNTIF(C24,"P")+COUNTIF(E24,"P")+COUNTIF(G24,"P")+COUNTIF(I24,"P")+COUNTIF(K24,"P")+COUNTIF(M24,"P")+COUNTIF(O24,"P")+COUNTIF(Q24,"P")+COUNTIF(S24,"P")+COUNTIF(U24,"P")</f>
        <v/>
      </c>
      <c r="X24" s="19">
        <f>COUNTIF(C24,"A")+COUNTIF(E24,"A")+COUNTIF(G24,"A")+COUNTIF(I24,"A")+COUNTIF(K24,"A")+COUNTIF(M24,"A")+COUNTIF(O24,"A")+COUNTIF(Q24,"A")+COUNTIF(S24,"A")+COUNTIF(U24,"A")</f>
        <v/>
      </c>
      <c r="Y24" s="19" t="n"/>
      <c r="Z24" s="19">
        <f>IF(Y24="","",Y24-V24)</f>
        <v/>
      </c>
      <c r="AA24" s="21">
        <f>IF(OR(Y24="",Y24=0),"",V24/Y24)</f>
        <v/>
      </c>
      <c r="AB24" s="22">
        <f>IF(OR(Y24="",Y24=0),"",IF((10-W24-X24)&lt;=0,"N/A",Z24/(10-W24-X24)))</f>
        <v/>
      </c>
      <c r="AC24" s="19">
        <f>IF(W24=0,"",ROUND((V24/W24)*10,0))</f>
        <v/>
      </c>
    </row>
    <row r="25">
      <c r="A25" s="18" t="inlineStr">
        <is>
          <t>Anu Vijay Anand</t>
        </is>
      </c>
      <c r="B25" s="19" t="n"/>
      <c r="C25" s="6" t="n"/>
      <c r="D25" s="19" t="n"/>
      <c r="E25" s="6" t="n"/>
      <c r="F25" s="19" t="n"/>
      <c r="G25" s="6" t="n"/>
      <c r="H25" s="19" t="n"/>
      <c r="I25" s="6" t="n"/>
      <c r="J25" s="19" t="n"/>
      <c r="K25" s="6" t="n"/>
      <c r="L25" s="19" t="n"/>
      <c r="M25" s="6" t="n"/>
      <c r="N25" s="19" t="n"/>
      <c r="O25" s="6" t="n"/>
      <c r="P25" s="19" t="n"/>
      <c r="Q25" s="6" t="n"/>
      <c r="R25" s="19" t="n"/>
      <c r="S25" s="6" t="n"/>
      <c r="T25" s="19" t="n"/>
      <c r="U25" s="6" t="n"/>
      <c r="V25" s="20">
        <f>SUM(B25,D25,F25,H25,J25,L25,N25,P25,R25,T25)</f>
        <v/>
      </c>
      <c r="W25" s="19">
        <f>COUNTIF(C25,"P")+COUNTIF(E25,"P")+COUNTIF(G25,"P")+COUNTIF(I25,"P")+COUNTIF(K25,"P")+COUNTIF(M25,"P")+COUNTIF(O25,"P")+COUNTIF(Q25,"P")+COUNTIF(S25,"P")+COUNTIF(U25,"P")</f>
        <v/>
      </c>
      <c r="X25" s="19">
        <f>COUNTIF(C25,"A")+COUNTIF(E25,"A")+COUNTIF(G25,"A")+COUNTIF(I25,"A")+COUNTIF(K25,"A")+COUNTIF(M25,"A")+COUNTIF(O25,"A")+COUNTIF(Q25,"A")+COUNTIF(S25,"A")+COUNTIF(U25,"A")</f>
        <v/>
      </c>
      <c r="Y25" s="19" t="n"/>
      <c r="Z25" s="19">
        <f>IF(Y25="","",Y25-V25)</f>
        <v/>
      </c>
      <c r="AA25" s="21">
        <f>IF(OR(Y25="",Y25=0),"",V25/Y25)</f>
        <v/>
      </c>
      <c r="AB25" s="22">
        <f>IF(OR(Y25="",Y25=0),"",IF((10-W25-X25)&lt;=0,"N/A",Z25/(10-W25-X25)))</f>
        <v/>
      </c>
      <c r="AC25" s="19">
        <f>IF(W25=0,"",ROUND((V25/W25)*10,0))</f>
        <v/>
      </c>
    </row>
    <row r="26">
      <c r="A26" s="18" t="inlineStr">
        <is>
          <t>Aadhya Gone</t>
        </is>
      </c>
      <c r="B26" s="19" t="n"/>
      <c r="C26" s="6" t="n"/>
      <c r="D26" s="19" t="n"/>
      <c r="E26" s="6" t="n"/>
      <c r="F26" s="19" t="n"/>
      <c r="G26" s="6" t="n"/>
      <c r="H26" s="19" t="n"/>
      <c r="I26" s="6" t="n"/>
      <c r="J26" s="19" t="n"/>
      <c r="K26" s="6" t="n"/>
      <c r="L26" s="19" t="n"/>
      <c r="M26" s="6" t="n"/>
      <c r="N26" s="19" t="n"/>
      <c r="O26" s="6" t="n"/>
      <c r="P26" s="19" t="n"/>
      <c r="Q26" s="6" t="n"/>
      <c r="R26" s="19" t="n"/>
      <c r="S26" s="6" t="n"/>
      <c r="T26" s="19" t="n"/>
      <c r="U26" s="6" t="n"/>
      <c r="V26" s="20">
        <f>SUM(B26,D26,F26,H26,J26,L26,N26,P26,R26,T26)</f>
        <v/>
      </c>
      <c r="W26" s="19">
        <f>COUNTIF(C26,"P")+COUNTIF(E26,"P")+COUNTIF(G26,"P")+COUNTIF(I26,"P")+COUNTIF(K26,"P")+COUNTIF(M26,"P")+COUNTIF(O26,"P")+COUNTIF(Q26,"P")+COUNTIF(S26,"P")+COUNTIF(U26,"P")</f>
        <v/>
      </c>
      <c r="X26" s="19">
        <f>COUNTIF(C26,"A")+COUNTIF(E26,"A")+COUNTIF(G26,"A")+COUNTIF(I26,"A")+COUNTIF(K26,"A")+COUNTIF(M26,"A")+COUNTIF(O26,"A")+COUNTIF(Q26,"A")+COUNTIF(S26,"A")+COUNTIF(U26,"A")</f>
        <v/>
      </c>
      <c r="Y26" s="19" t="n"/>
      <c r="Z26" s="19">
        <f>IF(Y26="","",Y26-V26)</f>
        <v/>
      </c>
      <c r="AA26" s="21">
        <f>IF(OR(Y26="",Y26=0),"",V26/Y26)</f>
        <v/>
      </c>
      <c r="AB26" s="22">
        <f>IF(OR(Y26="",Y26=0),"",IF((10-W26-X26)&lt;=0,"N/A",Z26/(10-W26-X26)))</f>
        <v/>
      </c>
      <c r="AC26" s="19">
        <f>IF(W26=0,"",ROUND((V26/W26)*10,0))</f>
        <v/>
      </c>
    </row>
    <row r="27">
      <c r="A27" s="18" t="inlineStr">
        <is>
          <t>Sumeyah Khan</t>
        </is>
      </c>
      <c r="B27" s="19" t="n"/>
      <c r="C27" s="6" t="n"/>
      <c r="D27" s="19" t="n"/>
      <c r="E27" s="6" t="n"/>
      <c r="F27" s="19" t="n"/>
      <c r="G27" s="6" t="n"/>
      <c r="H27" s="19" t="n"/>
      <c r="I27" s="6" t="n"/>
      <c r="J27" s="19" t="n"/>
      <c r="K27" s="6" t="n"/>
      <c r="L27" s="19" t="n"/>
      <c r="M27" s="6" t="n"/>
      <c r="N27" s="19" t="n"/>
      <c r="O27" s="6" t="n"/>
      <c r="P27" s="19" t="n"/>
      <c r="Q27" s="6" t="n"/>
      <c r="R27" s="19" t="n"/>
      <c r="S27" s="6" t="n"/>
      <c r="T27" s="19" t="n"/>
      <c r="U27" s="6" t="n"/>
      <c r="V27" s="20">
        <f>SUM(B27,D27,F27,H27,J27,L27,N27,P27,R27,T27)</f>
        <v/>
      </c>
      <c r="W27" s="19">
        <f>COUNTIF(C27,"P")+COUNTIF(E27,"P")+COUNTIF(G27,"P")+COUNTIF(I27,"P")+COUNTIF(K27,"P")+COUNTIF(M27,"P")+COUNTIF(O27,"P")+COUNTIF(Q27,"P")+COUNTIF(S27,"P")+COUNTIF(U27,"P")</f>
        <v/>
      </c>
      <c r="X27" s="19">
        <f>COUNTIF(C27,"A")+COUNTIF(E27,"A")+COUNTIF(G27,"A")+COUNTIF(I27,"A")+COUNTIF(K27,"A")+COUNTIF(M27,"A")+COUNTIF(O27,"A")+COUNTIF(Q27,"A")+COUNTIF(S27,"A")+COUNTIF(U27,"A")</f>
        <v/>
      </c>
      <c r="Y27" s="19" t="n"/>
      <c r="Z27" s="19">
        <f>IF(Y27="","",Y27-V27)</f>
        <v/>
      </c>
      <c r="AA27" s="21">
        <f>IF(OR(Y27="",Y27=0),"",V27/Y27)</f>
        <v/>
      </c>
      <c r="AB27" s="22">
        <f>IF(OR(Y27="",Y27=0),"",IF((10-W27-X27)&lt;=0,"N/A",Z27/(10-W27-X27)))</f>
        <v/>
      </c>
      <c r="AC27" s="19">
        <f>IF(W27=0,"",ROUND((V27/W27)*10,0))</f>
        <v/>
      </c>
    </row>
    <row r="28">
      <c r="A28" s="18" t="inlineStr">
        <is>
          <t>Maria Mujeeb</t>
        </is>
      </c>
      <c r="B28" s="19" t="n"/>
      <c r="C28" s="6" t="n"/>
      <c r="D28" s="19" t="n"/>
      <c r="E28" s="6" t="n"/>
      <c r="F28" s="19" t="n"/>
      <c r="G28" s="6" t="n"/>
      <c r="H28" s="19" t="n"/>
      <c r="I28" s="6" t="n"/>
      <c r="J28" s="19" t="n"/>
      <c r="K28" s="6" t="n"/>
      <c r="L28" s="19" t="n"/>
      <c r="M28" s="6" t="n"/>
      <c r="N28" s="19" t="n"/>
      <c r="O28" s="6" t="n"/>
      <c r="P28" s="19" t="n"/>
      <c r="Q28" s="6" t="n"/>
      <c r="R28" s="19" t="n"/>
      <c r="S28" s="6" t="n"/>
      <c r="T28" s="19" t="n"/>
      <c r="U28" s="6" t="n"/>
      <c r="V28" s="20">
        <f>SUM(B28,D28,F28,H28,J28,L28,N28,P28,R28,T28)</f>
        <v/>
      </c>
      <c r="W28" s="19">
        <f>COUNTIF(C28,"P")+COUNTIF(E28,"P")+COUNTIF(G28,"P")+COUNTIF(I28,"P")+COUNTIF(K28,"P")+COUNTIF(M28,"P")+COUNTIF(O28,"P")+COUNTIF(Q28,"P")+COUNTIF(S28,"P")+COUNTIF(U28,"P")</f>
        <v/>
      </c>
      <c r="X28" s="19">
        <f>COUNTIF(C28,"A")+COUNTIF(E28,"A")+COUNTIF(G28,"A")+COUNTIF(I28,"A")+COUNTIF(K28,"A")+COUNTIF(M28,"A")+COUNTIF(O28,"A")+COUNTIF(Q28,"A")+COUNTIF(S28,"A")+COUNTIF(U28,"A")</f>
        <v/>
      </c>
      <c r="Y28" s="19" t="n"/>
      <c r="Z28" s="19">
        <f>IF(Y28="","",Y28-V28)</f>
        <v/>
      </c>
      <c r="AA28" s="21">
        <f>IF(OR(Y28="",Y28=0),"",V28/Y28)</f>
        <v/>
      </c>
      <c r="AB28" s="22">
        <f>IF(OR(Y28="",Y28=0),"",IF((10-W28-X28)&lt;=0,"N/A",Z28/(10-W28-X28)))</f>
        <v/>
      </c>
      <c r="AC28" s="19">
        <f>IF(W28=0,"",ROUND((V28/W28)*10,0))</f>
        <v/>
      </c>
    </row>
    <row r="29">
      <c r="A29" s="18" t="inlineStr">
        <is>
          <t>Jace Ratliff</t>
        </is>
      </c>
      <c r="B29" s="19" t="n"/>
      <c r="C29" s="6" t="n"/>
      <c r="D29" s="19" t="n"/>
      <c r="E29" s="6" t="n"/>
      <c r="F29" s="19" t="n"/>
      <c r="G29" s="6" t="n"/>
      <c r="H29" s="19" t="n"/>
      <c r="I29" s="6" t="n"/>
      <c r="J29" s="19" t="n"/>
      <c r="K29" s="6" t="n"/>
      <c r="L29" s="19" t="n"/>
      <c r="M29" s="6" t="n"/>
      <c r="N29" s="19" t="n"/>
      <c r="O29" s="6" t="n"/>
      <c r="P29" s="19" t="n"/>
      <c r="Q29" s="6" t="n"/>
      <c r="R29" s="19" t="n"/>
      <c r="S29" s="6" t="n"/>
      <c r="T29" s="19" t="n"/>
      <c r="U29" s="6" t="n"/>
      <c r="V29" s="20">
        <f>SUM(B29,D29,F29,H29,J29,L29,N29,P29,R29,T29)</f>
        <v/>
      </c>
      <c r="W29" s="19">
        <f>COUNTIF(C29,"P")+COUNTIF(E29,"P")+COUNTIF(G29,"P")+COUNTIF(I29,"P")+COUNTIF(K29,"P")+COUNTIF(M29,"P")+COUNTIF(O29,"P")+COUNTIF(Q29,"P")+COUNTIF(S29,"P")+COUNTIF(U29,"P")</f>
        <v/>
      </c>
      <c r="X29" s="19">
        <f>COUNTIF(C29,"A")+COUNTIF(E29,"A")+COUNTIF(G29,"A")+COUNTIF(I29,"A")+COUNTIF(K29,"A")+COUNTIF(M29,"A")+COUNTIF(O29,"A")+COUNTIF(Q29,"A")+COUNTIF(S29,"A")+COUNTIF(U29,"A")</f>
        <v/>
      </c>
      <c r="Y29" s="19" t="n"/>
      <c r="Z29" s="19">
        <f>IF(Y29="","",Y29-V29)</f>
        <v/>
      </c>
      <c r="AA29" s="21">
        <f>IF(OR(Y29="",Y29=0),"",V29/Y29)</f>
        <v/>
      </c>
      <c r="AB29" s="22">
        <f>IF(OR(Y29="",Y29=0),"",IF((10-W29-X29)&lt;=0,"N/A",Z29/(10-W29-X29)))</f>
        <v/>
      </c>
      <c r="AC29" s="19">
        <f>IF(W29=0,"",ROUND((V29/W29)*10,0))</f>
        <v/>
      </c>
    </row>
    <row r="30">
      <c r="A30" s="18" t="inlineStr">
        <is>
          <t>Evan Allen</t>
        </is>
      </c>
      <c r="B30" s="19" t="n"/>
      <c r="C30" s="6" t="n"/>
      <c r="D30" s="19" t="n"/>
      <c r="E30" s="6" t="n"/>
      <c r="F30" s="19" t="n"/>
      <c r="G30" s="6" t="n"/>
      <c r="H30" s="19" t="n"/>
      <c r="I30" s="6" t="n"/>
      <c r="J30" s="19" t="n"/>
      <c r="K30" s="6" t="n"/>
      <c r="L30" s="19" t="n"/>
      <c r="M30" s="6" t="n"/>
      <c r="N30" s="19" t="n"/>
      <c r="O30" s="6" t="n"/>
      <c r="P30" s="19" t="n"/>
      <c r="Q30" s="6" t="n"/>
      <c r="R30" s="19" t="n"/>
      <c r="S30" s="6" t="n"/>
      <c r="T30" s="19" t="n"/>
      <c r="U30" s="6" t="n"/>
      <c r="V30" s="20">
        <f>SUM(B30,D30,F30,H30,J30,L30,N30,P30,R30,T30)</f>
        <v/>
      </c>
      <c r="W30" s="19">
        <f>COUNTIF(C30,"P")+COUNTIF(E30,"P")+COUNTIF(G30,"P")+COUNTIF(I30,"P")+COUNTIF(K30,"P")+COUNTIF(M30,"P")+COUNTIF(O30,"P")+COUNTIF(Q30,"P")+COUNTIF(S30,"P")+COUNTIF(U30,"P")</f>
        <v/>
      </c>
      <c r="X30" s="19">
        <f>COUNTIF(C30,"A")+COUNTIF(E30,"A")+COUNTIF(G30,"A")+COUNTIF(I30,"A")+COUNTIF(K30,"A")+COUNTIF(M30,"A")+COUNTIF(O30,"A")+COUNTIF(Q30,"A")+COUNTIF(S30,"A")+COUNTIF(U30,"A")</f>
        <v/>
      </c>
      <c r="Y30" s="19" t="n"/>
      <c r="Z30" s="19">
        <f>IF(Y30="","",Y30-V30)</f>
        <v/>
      </c>
      <c r="AA30" s="21">
        <f>IF(OR(Y30="",Y30=0),"",V30/Y30)</f>
        <v/>
      </c>
      <c r="AB30" s="22">
        <f>IF(OR(Y30="",Y30=0),"",IF((10-W30-X30)&lt;=0,"N/A",Z30/(10-W30-X30)))</f>
        <v/>
      </c>
      <c r="AC30" s="19">
        <f>IF(W30=0,"",ROUND((V30/W30)*10,0))</f>
        <v/>
      </c>
    </row>
    <row r="31">
      <c r="A31" s="18" t="inlineStr">
        <is>
          <t>Sai Neelagiri</t>
        </is>
      </c>
      <c r="B31" s="19" t="n"/>
      <c r="C31" s="6" t="n"/>
      <c r="D31" s="19" t="n"/>
      <c r="E31" s="6" t="n"/>
      <c r="F31" s="19" t="n"/>
      <c r="G31" s="6" t="n"/>
      <c r="H31" s="19" t="n"/>
      <c r="I31" s="6" t="n"/>
      <c r="J31" s="19" t="n"/>
      <c r="K31" s="6" t="n"/>
      <c r="L31" s="19" t="n"/>
      <c r="M31" s="6" t="n"/>
      <c r="N31" s="19" t="n"/>
      <c r="O31" s="6" t="n"/>
      <c r="P31" s="19" t="n"/>
      <c r="Q31" s="6" t="n"/>
      <c r="R31" s="19" t="n"/>
      <c r="S31" s="6" t="n"/>
      <c r="T31" s="19" t="n"/>
      <c r="U31" s="6" t="n"/>
      <c r="V31" s="20">
        <f>SUM(B31,D31,F31,H31,J31,L31,N31,P31,R31,T31)</f>
        <v/>
      </c>
      <c r="W31" s="19">
        <f>COUNTIF(C31,"P")+COUNTIF(E31,"P")+COUNTIF(G31,"P")+COUNTIF(I31,"P")+COUNTIF(K31,"P")+COUNTIF(M31,"P")+COUNTIF(O31,"P")+COUNTIF(Q31,"P")+COUNTIF(S31,"P")+COUNTIF(U31,"P")</f>
        <v/>
      </c>
      <c r="X31" s="19">
        <f>COUNTIF(C31,"A")+COUNTIF(E31,"A")+COUNTIF(G31,"A")+COUNTIF(I31,"A")+COUNTIF(K31,"A")+COUNTIF(M31,"A")+COUNTIF(O31,"A")+COUNTIF(Q31,"A")+COUNTIF(S31,"A")+COUNTIF(U31,"A")</f>
        <v/>
      </c>
      <c r="Y31" s="19" t="n"/>
      <c r="Z31" s="19">
        <f>IF(Y31="","",Y31-V31)</f>
        <v/>
      </c>
      <c r="AA31" s="21">
        <f>IF(OR(Y31="",Y31=0),"",V31/Y31)</f>
        <v/>
      </c>
      <c r="AB31" s="22">
        <f>IF(OR(Y31="",Y31=0),"",IF((10-W31-X31)&lt;=0,"N/A",Z31/(10-W31-X31)))</f>
        <v/>
      </c>
      <c r="AC31" s="19">
        <f>IF(W31=0,"",ROUND((V31/W31)*10,0))</f>
        <v/>
      </c>
    </row>
    <row r="32">
      <c r="A32" s="18" t="inlineStr">
        <is>
          <t>Fletcher Meese</t>
        </is>
      </c>
      <c r="B32" s="19" t="n"/>
      <c r="C32" s="6" t="n"/>
      <c r="D32" s="19" t="n"/>
      <c r="E32" s="6" t="n"/>
      <c r="F32" s="19" t="n"/>
      <c r="G32" s="6" t="n"/>
      <c r="H32" s="19" t="n"/>
      <c r="I32" s="6" t="n"/>
      <c r="J32" s="19" t="n"/>
      <c r="K32" s="6" t="n"/>
      <c r="L32" s="19" t="n"/>
      <c r="M32" s="6" t="n"/>
      <c r="N32" s="19" t="n"/>
      <c r="O32" s="6" t="n"/>
      <c r="P32" s="19" t="n"/>
      <c r="Q32" s="6" t="n"/>
      <c r="R32" s="19" t="n"/>
      <c r="S32" s="6" t="n"/>
      <c r="T32" s="19" t="n"/>
      <c r="U32" s="6" t="n"/>
      <c r="V32" s="20">
        <f>SUM(B32,D32,F32,H32,J32,L32,N32,P32,R32,T32)</f>
        <v/>
      </c>
      <c r="W32" s="19">
        <f>COUNTIF(C32,"P")+COUNTIF(E32,"P")+COUNTIF(G32,"P")+COUNTIF(I32,"P")+COUNTIF(K32,"P")+COUNTIF(M32,"P")+COUNTIF(O32,"P")+COUNTIF(Q32,"P")+COUNTIF(S32,"P")+COUNTIF(U32,"P")</f>
        <v/>
      </c>
      <c r="X32" s="19">
        <f>COUNTIF(C32,"A")+COUNTIF(E32,"A")+COUNTIF(G32,"A")+COUNTIF(I32,"A")+COUNTIF(K32,"A")+COUNTIF(M32,"A")+COUNTIF(O32,"A")+COUNTIF(Q32,"A")+COUNTIF(S32,"A")+COUNTIF(U32,"A")</f>
        <v/>
      </c>
      <c r="Y32" s="19" t="n"/>
      <c r="Z32" s="19">
        <f>IF(Y32="","",Y32-V32)</f>
        <v/>
      </c>
      <c r="AA32" s="21">
        <f>IF(OR(Y32="",Y32=0),"",V32/Y32)</f>
        <v/>
      </c>
      <c r="AB32" s="22">
        <f>IF(OR(Y32="",Y32=0),"",IF((10-W32-X32)&lt;=0,"N/A",Z32/(10-W32-X32)))</f>
        <v/>
      </c>
      <c r="AC32" s="19">
        <f>IF(W32=0,"",ROUND((V32/W32)*10,0))</f>
        <v/>
      </c>
    </row>
    <row r="33">
      <c r="A33" s="18" t="inlineStr">
        <is>
          <t>Elijah Aldaco</t>
        </is>
      </c>
      <c r="B33" s="19" t="n"/>
      <c r="C33" s="6" t="n"/>
      <c r="D33" s="19" t="n"/>
      <c r="E33" s="6" t="n"/>
      <c r="F33" s="19" t="n"/>
      <c r="G33" s="6" t="n"/>
      <c r="H33" s="19" t="n"/>
      <c r="I33" s="6" t="n"/>
      <c r="J33" s="19" t="n"/>
      <c r="K33" s="6" t="n"/>
      <c r="L33" s="19" t="n"/>
      <c r="M33" s="6" t="n"/>
      <c r="N33" s="19" t="n"/>
      <c r="O33" s="6" t="n"/>
      <c r="P33" s="19" t="n"/>
      <c r="Q33" s="6" t="n"/>
      <c r="R33" s="19" t="n"/>
      <c r="S33" s="6" t="n"/>
      <c r="T33" s="19" t="n"/>
      <c r="U33" s="6" t="n"/>
      <c r="V33" s="20">
        <f>SUM(B33,D33,F33,H33,J33,L33,N33,P33,R33,T33)</f>
        <v/>
      </c>
      <c r="W33" s="19">
        <f>COUNTIF(C33,"P")+COUNTIF(E33,"P")+COUNTIF(G33,"P")+COUNTIF(I33,"P")+COUNTIF(K33,"P")+COUNTIF(M33,"P")+COUNTIF(O33,"P")+COUNTIF(Q33,"P")+COUNTIF(S33,"P")+COUNTIF(U33,"P")</f>
        <v/>
      </c>
      <c r="X33" s="19">
        <f>COUNTIF(C33,"A")+COUNTIF(E33,"A")+COUNTIF(G33,"A")+COUNTIF(I33,"A")+COUNTIF(K33,"A")+COUNTIF(M33,"A")+COUNTIF(O33,"A")+COUNTIF(Q33,"A")+COUNTIF(S33,"A")+COUNTIF(U33,"A")</f>
        <v/>
      </c>
      <c r="Y33" s="19" t="n"/>
      <c r="Z33" s="19">
        <f>IF(Y33="","",Y33-V33)</f>
        <v/>
      </c>
      <c r="AA33" s="21">
        <f>IF(OR(Y33="",Y33=0),"",V33/Y33)</f>
        <v/>
      </c>
      <c r="AB33" s="22">
        <f>IF(OR(Y33="",Y33=0),"",IF((10-W33-X33)&lt;=0,"N/A",Z33/(10-W33-X33)))</f>
        <v/>
      </c>
      <c r="AC33" s="19">
        <f>IF(W33=0,"",ROUND((V33/W33)*10,0))</f>
        <v/>
      </c>
    </row>
    <row r="34">
      <c r="A34" s="18" t="inlineStr">
        <is>
          <t>Cain Gutierrez</t>
        </is>
      </c>
      <c r="B34" s="19" t="n"/>
      <c r="C34" s="6" t="n"/>
      <c r="D34" s="19" t="n"/>
      <c r="E34" s="6" t="n"/>
      <c r="F34" s="19" t="n"/>
      <c r="G34" s="6" t="n"/>
      <c r="H34" s="19" t="n"/>
      <c r="I34" s="6" t="n"/>
      <c r="J34" s="19" t="n"/>
      <c r="K34" s="6" t="n"/>
      <c r="L34" s="19" t="n"/>
      <c r="M34" s="6" t="n"/>
      <c r="N34" s="19" t="n"/>
      <c r="O34" s="6" t="n"/>
      <c r="P34" s="19" t="n"/>
      <c r="Q34" s="6" t="n"/>
      <c r="R34" s="19" t="n"/>
      <c r="S34" s="6" t="n"/>
      <c r="T34" s="19" t="n"/>
      <c r="U34" s="6" t="n"/>
      <c r="V34" s="20">
        <f>SUM(B34,D34,F34,H34,J34,L34,N34,P34,R34,T34)</f>
        <v/>
      </c>
      <c r="W34" s="19">
        <f>COUNTIF(C34,"P")+COUNTIF(E34,"P")+COUNTIF(G34,"P")+COUNTIF(I34,"P")+COUNTIF(K34,"P")+COUNTIF(M34,"P")+COUNTIF(O34,"P")+COUNTIF(Q34,"P")+COUNTIF(S34,"P")+COUNTIF(U34,"P")</f>
        <v/>
      </c>
      <c r="X34" s="19">
        <f>COUNTIF(C34,"A")+COUNTIF(E34,"A")+COUNTIF(G34,"A")+COUNTIF(I34,"A")+COUNTIF(K34,"A")+COUNTIF(M34,"A")+COUNTIF(O34,"A")+COUNTIF(Q34,"A")+COUNTIF(S34,"A")+COUNTIF(U34,"A")</f>
        <v/>
      </c>
      <c r="Y34" s="19" t="n"/>
      <c r="Z34" s="19">
        <f>IF(Y34="","",Y34-V34)</f>
        <v/>
      </c>
      <c r="AA34" s="21">
        <f>IF(OR(Y34="",Y34=0),"",V34/Y34)</f>
        <v/>
      </c>
      <c r="AB34" s="22">
        <f>IF(OR(Y34="",Y34=0),"",IF((10-W34-X34)&lt;=0,"N/A",Z34/(10-W34-X34)))</f>
        <v/>
      </c>
      <c r="AC34" s="19">
        <f>IF(W34=0,"",ROUND((V34/W34)*10,0))</f>
        <v/>
      </c>
    </row>
    <row r="35">
      <c r="A35" s="18" t="inlineStr">
        <is>
          <t>Grayson Barnhart</t>
        </is>
      </c>
      <c r="B35" s="19" t="n"/>
      <c r="C35" s="6" t="n"/>
      <c r="D35" s="19" t="n"/>
      <c r="E35" s="6" t="n"/>
      <c r="F35" s="19" t="n"/>
      <c r="G35" s="6" t="n"/>
      <c r="H35" s="19" t="n"/>
      <c r="I35" s="6" t="n"/>
      <c r="J35" s="19" t="n"/>
      <c r="K35" s="6" t="n"/>
      <c r="L35" s="19" t="n"/>
      <c r="M35" s="6" t="n"/>
      <c r="N35" s="19" t="n"/>
      <c r="O35" s="6" t="n"/>
      <c r="P35" s="19" t="n"/>
      <c r="Q35" s="6" t="n"/>
      <c r="R35" s="19" t="n"/>
      <c r="S35" s="6" t="n"/>
      <c r="T35" s="19" t="n"/>
      <c r="U35" s="6" t="n"/>
      <c r="V35" s="20">
        <f>SUM(B35,D35,F35,H35,J35,L35,N35,P35,R35,T35)</f>
        <v/>
      </c>
      <c r="W35" s="19">
        <f>COUNTIF(C35,"P")+COUNTIF(E35,"P")+COUNTIF(G35,"P")+COUNTIF(I35,"P")+COUNTIF(K35,"P")+COUNTIF(M35,"P")+COUNTIF(O35,"P")+COUNTIF(Q35,"P")+COUNTIF(S35,"P")+COUNTIF(U35,"P")</f>
        <v/>
      </c>
      <c r="X35" s="19">
        <f>COUNTIF(C35,"A")+COUNTIF(E35,"A")+COUNTIF(G35,"A")+COUNTIF(I35,"A")+COUNTIF(K35,"A")+COUNTIF(M35,"A")+COUNTIF(O35,"A")+COUNTIF(Q35,"A")+COUNTIF(S35,"A")+COUNTIF(U35,"A")</f>
        <v/>
      </c>
      <c r="Y35" s="19" t="n"/>
      <c r="Z35" s="19">
        <f>IF(Y35="","",Y35-V35)</f>
        <v/>
      </c>
      <c r="AA35" s="21">
        <f>IF(OR(Y35="",Y35=0),"",V35/Y35)</f>
        <v/>
      </c>
      <c r="AB35" s="22">
        <f>IF(OR(Y35="",Y35=0),"",IF((10-W35-X35)&lt;=0,"N/A",Z35/(10-W35-X35)))</f>
        <v/>
      </c>
      <c r="AC35" s="19">
        <f>IF(W35=0,"",ROUND((V35/W35)*10,0))</f>
        <v/>
      </c>
    </row>
    <row r="36">
      <c r="A36" s="18" t="inlineStr">
        <is>
          <t>Abel Abraham</t>
        </is>
      </c>
      <c r="B36" s="19" t="n"/>
      <c r="C36" s="6" t="n"/>
      <c r="D36" s="19" t="n"/>
      <c r="E36" s="6" t="n"/>
      <c r="F36" s="19" t="n"/>
      <c r="G36" s="6" t="n"/>
      <c r="H36" s="19" t="n"/>
      <c r="I36" s="6" t="n"/>
      <c r="J36" s="19" t="n"/>
      <c r="K36" s="6" t="n"/>
      <c r="L36" s="19" t="n"/>
      <c r="M36" s="6" t="n"/>
      <c r="N36" s="19" t="n"/>
      <c r="O36" s="6" t="n"/>
      <c r="P36" s="19" t="n"/>
      <c r="Q36" s="6" t="n"/>
      <c r="R36" s="19" t="n"/>
      <c r="S36" s="6" t="n"/>
      <c r="T36" s="19" t="n"/>
      <c r="U36" s="6" t="n"/>
      <c r="V36" s="20">
        <f>SUM(B36,D36,F36,H36,J36,L36,N36,P36,R36,T36)</f>
        <v/>
      </c>
      <c r="W36" s="19">
        <f>COUNTIF(C36,"P")+COUNTIF(E36,"P")+COUNTIF(G36,"P")+COUNTIF(I36,"P")+COUNTIF(K36,"P")+COUNTIF(M36,"P")+COUNTIF(O36,"P")+COUNTIF(Q36,"P")+COUNTIF(S36,"P")+COUNTIF(U36,"P")</f>
        <v/>
      </c>
      <c r="X36" s="19">
        <f>COUNTIF(C36,"A")+COUNTIF(E36,"A")+COUNTIF(G36,"A")+COUNTIF(I36,"A")+COUNTIF(K36,"A")+COUNTIF(M36,"A")+COUNTIF(O36,"A")+COUNTIF(Q36,"A")+COUNTIF(S36,"A")+COUNTIF(U36,"A")</f>
        <v/>
      </c>
      <c r="Y36" s="19" t="n"/>
      <c r="Z36" s="19">
        <f>IF(Y36="","",Y36-V36)</f>
        <v/>
      </c>
      <c r="AA36" s="21">
        <f>IF(OR(Y36="",Y36=0),"",V36/Y36)</f>
        <v/>
      </c>
      <c r="AB36" s="22">
        <f>IF(OR(Y36="",Y36=0),"",IF((10-W36-X36)&lt;=0,"N/A",Z36/(10-W36-X36)))</f>
        <v/>
      </c>
      <c r="AC36" s="19">
        <f>IF(W36=0,"",ROUND((V36/W36)*10,0))</f>
        <v/>
      </c>
    </row>
    <row r="37">
      <c r="A37" s="18" t="inlineStr">
        <is>
          <t>John Joby</t>
        </is>
      </c>
      <c r="B37" s="19" t="n"/>
      <c r="C37" s="6" t="n"/>
      <c r="D37" s="19" t="n"/>
      <c r="E37" s="6" t="n"/>
      <c r="F37" s="19" t="n"/>
      <c r="G37" s="6" t="n"/>
      <c r="H37" s="19" t="n"/>
      <c r="I37" s="6" t="n"/>
      <c r="J37" s="19" t="n"/>
      <c r="K37" s="6" t="n"/>
      <c r="L37" s="19" t="n"/>
      <c r="M37" s="6" t="n"/>
      <c r="N37" s="19" t="n"/>
      <c r="O37" s="6" t="n"/>
      <c r="P37" s="19" t="n"/>
      <c r="Q37" s="6" t="n"/>
      <c r="R37" s="19" t="n"/>
      <c r="S37" s="6" t="n"/>
      <c r="T37" s="19" t="n"/>
      <c r="U37" s="6" t="n"/>
      <c r="V37" s="20">
        <f>SUM(B37,D37,F37,H37,J37,L37,N37,P37,R37,T37)</f>
        <v/>
      </c>
      <c r="W37" s="19">
        <f>COUNTIF(C37,"P")+COUNTIF(E37,"P")+COUNTIF(G37,"P")+COUNTIF(I37,"P")+COUNTIF(K37,"P")+COUNTIF(M37,"P")+COUNTIF(O37,"P")+COUNTIF(Q37,"P")+COUNTIF(S37,"P")+COUNTIF(U37,"P")</f>
        <v/>
      </c>
      <c r="X37" s="19">
        <f>COUNTIF(C37,"A")+COUNTIF(E37,"A")+COUNTIF(G37,"A")+COUNTIF(I37,"A")+COUNTIF(K37,"A")+COUNTIF(M37,"A")+COUNTIF(O37,"A")+COUNTIF(Q37,"A")+COUNTIF(S37,"A")+COUNTIF(U37,"A")</f>
        <v/>
      </c>
      <c r="Y37" s="19" t="n"/>
      <c r="Z37" s="19">
        <f>IF(Y37="","",Y37-V37)</f>
        <v/>
      </c>
      <c r="AA37" s="21">
        <f>IF(OR(Y37="",Y37=0),"",V37/Y37)</f>
        <v/>
      </c>
      <c r="AB37" s="22">
        <f>IF(OR(Y37="",Y37=0),"",IF((10-W37-X37)&lt;=0,"N/A",Z37/(10-W37-X37)))</f>
        <v/>
      </c>
      <c r="AC37" s="19">
        <f>IF(W37=0,"",ROUND((V37/W37)*10,0))</f>
        <v/>
      </c>
    </row>
    <row r="38">
      <c r="A38" s="18" t="inlineStr">
        <is>
          <t>Jason Bean</t>
        </is>
      </c>
      <c r="B38" s="19" t="n"/>
      <c r="C38" s="6" t="n"/>
      <c r="D38" s="19" t="n"/>
      <c r="E38" s="6" t="n"/>
      <c r="F38" s="19" t="n"/>
      <c r="G38" s="6" t="n"/>
      <c r="H38" s="19" t="n"/>
      <c r="I38" s="6" t="n"/>
      <c r="J38" s="19" t="n"/>
      <c r="K38" s="6" t="n"/>
      <c r="L38" s="19" t="n"/>
      <c r="M38" s="6" t="n"/>
      <c r="N38" s="19" t="n"/>
      <c r="O38" s="6" t="n"/>
      <c r="P38" s="19" t="n"/>
      <c r="Q38" s="6" t="n"/>
      <c r="R38" s="19" t="n"/>
      <c r="S38" s="6" t="n"/>
      <c r="T38" s="19" t="n"/>
      <c r="U38" s="6" t="n"/>
      <c r="V38" s="20">
        <f>SUM(B38,D38,F38,H38,J38,L38,N38,P38,R38,T38)</f>
        <v/>
      </c>
      <c r="W38" s="19">
        <f>COUNTIF(C38,"P")+COUNTIF(E38,"P")+COUNTIF(G38,"P")+COUNTIF(I38,"P")+COUNTIF(K38,"P")+COUNTIF(M38,"P")+COUNTIF(O38,"P")+COUNTIF(Q38,"P")+COUNTIF(S38,"P")+COUNTIF(U38,"P")</f>
        <v/>
      </c>
      <c r="X38" s="19">
        <f>COUNTIF(C38,"A")+COUNTIF(E38,"A")+COUNTIF(G38,"A")+COUNTIF(I38,"A")+COUNTIF(K38,"A")+COUNTIF(M38,"A")+COUNTIF(O38,"A")+COUNTIF(Q38,"A")+COUNTIF(S38,"A")+COUNTIF(U38,"A")</f>
        <v/>
      </c>
      <c r="Y38" s="19" t="n"/>
      <c r="Z38" s="19">
        <f>IF(Y38="","",Y38-V38)</f>
        <v/>
      </c>
      <c r="AA38" s="21">
        <f>IF(OR(Y38="",Y38=0),"",V38/Y38)</f>
        <v/>
      </c>
      <c r="AB38" s="22">
        <f>IF(OR(Y38="",Y38=0),"",IF((10-W38-X38)&lt;=0,"N/A",Z38/(10-W38-X38)))</f>
        <v/>
      </c>
      <c r="AC38" s="19">
        <f>IF(W38=0,"",ROUND((V38/W38)*10,0))</f>
        <v/>
      </c>
    </row>
    <row r="41">
      <c r="A41" s="16" t="inlineStr">
        <is>
          <t>Q3 — Quarter 3</t>
        </is>
      </c>
    </row>
    <row r="42">
      <c r="A42" s="17" t="inlineStr">
        <is>
          <t>Student Name</t>
        </is>
      </c>
      <c r="B42" s="17" t="inlineStr">
        <is>
          <t>Sess 1</t>
        </is>
      </c>
      <c r="C42" s="17" t="inlineStr">
        <is>
          <t>Att 1</t>
        </is>
      </c>
      <c r="D42" s="17" t="inlineStr">
        <is>
          <t>Sess 2</t>
        </is>
      </c>
      <c r="E42" s="17" t="inlineStr">
        <is>
          <t>Att 2</t>
        </is>
      </c>
      <c r="F42" s="17" t="inlineStr">
        <is>
          <t>Sess 3</t>
        </is>
      </c>
      <c r="G42" s="17" t="inlineStr">
        <is>
          <t>Att 3</t>
        </is>
      </c>
      <c r="H42" s="17" t="inlineStr">
        <is>
          <t>Sess 4</t>
        </is>
      </c>
      <c r="I42" s="17" t="inlineStr">
        <is>
          <t>Att 4</t>
        </is>
      </c>
      <c r="J42" s="17" t="inlineStr">
        <is>
          <t>Sess 5</t>
        </is>
      </c>
      <c r="K42" s="17" t="inlineStr">
        <is>
          <t>Att 5</t>
        </is>
      </c>
      <c r="L42" s="17" t="inlineStr">
        <is>
          <t>Sess 6</t>
        </is>
      </c>
      <c r="M42" s="17" t="inlineStr">
        <is>
          <t>Att 6</t>
        </is>
      </c>
      <c r="N42" s="17" t="inlineStr">
        <is>
          <t>Sess 7</t>
        </is>
      </c>
      <c r="O42" s="17" t="inlineStr">
        <is>
          <t>Att 7</t>
        </is>
      </c>
      <c r="P42" s="17" t="inlineStr">
        <is>
          <t>Sess 8</t>
        </is>
      </c>
      <c r="Q42" s="17" t="inlineStr">
        <is>
          <t>Att 8</t>
        </is>
      </c>
      <c r="R42" s="17" t="inlineStr">
        <is>
          <t>Sess 9</t>
        </is>
      </c>
      <c r="S42" s="17" t="inlineStr">
        <is>
          <t>Att 9</t>
        </is>
      </c>
      <c r="T42" s="17" t="inlineStr">
        <is>
          <t>Sess 10</t>
        </is>
      </c>
      <c r="U42" s="17" t="inlineStr">
        <is>
          <t>Att 10</t>
        </is>
      </c>
      <c r="V42" s="17" t="inlineStr">
        <is>
          <t>Min Met</t>
        </is>
      </c>
      <c r="W42" s="17" t="inlineStr">
        <is>
          <t>Sess Att</t>
        </is>
      </c>
      <c r="X42" s="17" t="inlineStr">
        <is>
          <t>Absences</t>
        </is>
      </c>
      <c r="Y42" s="17" t="inlineStr">
        <is>
          <t>IEP Req</t>
        </is>
      </c>
      <c r="Z42" s="17" t="inlineStr">
        <is>
          <t>Min Remain</t>
        </is>
      </c>
      <c r="AA42" s="17" t="inlineStr">
        <is>
          <t>% Complete</t>
        </is>
      </c>
      <c r="AB42" s="17" t="inlineStr">
        <is>
          <t>Pace Needed</t>
        </is>
      </c>
      <c r="AC42" s="17" t="inlineStr">
        <is>
          <t>Projected</t>
        </is>
      </c>
    </row>
    <row r="43">
      <c r="A43" s="18" t="inlineStr">
        <is>
          <t>Raya Hightower</t>
        </is>
      </c>
      <c r="B43" s="19" t="n"/>
      <c r="C43" s="6" t="n"/>
      <c r="D43" s="19" t="n"/>
      <c r="E43" s="6" t="n"/>
      <c r="F43" s="19" t="n"/>
      <c r="G43" s="6" t="n"/>
      <c r="H43" s="19" t="n"/>
      <c r="I43" s="6" t="n"/>
      <c r="J43" s="19" t="n"/>
      <c r="K43" s="6" t="n"/>
      <c r="L43" s="19" t="n"/>
      <c r="M43" s="6" t="n"/>
      <c r="N43" s="19" t="n"/>
      <c r="O43" s="6" t="n"/>
      <c r="P43" s="19" t="n"/>
      <c r="Q43" s="6" t="n"/>
      <c r="R43" s="19" t="n"/>
      <c r="S43" s="6" t="n"/>
      <c r="T43" s="19" t="n"/>
      <c r="U43" s="6" t="n"/>
      <c r="V43" s="20">
        <f>SUM(B43,D43,F43,H43,J43,L43,N43,P43,R43,T43)</f>
        <v/>
      </c>
      <c r="W43" s="19">
        <f>COUNTIF(C43,"P")+COUNTIF(E43,"P")+COUNTIF(G43,"P")+COUNTIF(I43,"P")+COUNTIF(K43,"P")+COUNTIF(M43,"P")+COUNTIF(O43,"P")+COUNTIF(Q43,"P")+COUNTIF(S43,"P")+COUNTIF(U43,"P")</f>
        <v/>
      </c>
      <c r="X43" s="19">
        <f>COUNTIF(C43,"A")+COUNTIF(E43,"A")+COUNTIF(G43,"A")+COUNTIF(I43,"A")+COUNTIF(K43,"A")+COUNTIF(M43,"A")+COUNTIF(O43,"A")+COUNTIF(Q43,"A")+COUNTIF(S43,"A")+COUNTIF(U43,"A")</f>
        <v/>
      </c>
      <c r="Y43" s="19" t="n"/>
      <c r="Z43" s="19">
        <f>IF(Y43="","",Y43-V43)</f>
        <v/>
      </c>
      <c r="AA43" s="21">
        <f>IF(OR(Y43="",Y43=0),"",V43/Y43)</f>
        <v/>
      </c>
      <c r="AB43" s="22">
        <f>IF(OR(Y43="",Y43=0),"",IF((10-W43-X43)&lt;=0,"N/A",Z43/(10-W43-X43)))</f>
        <v/>
      </c>
      <c r="AC43" s="19">
        <f>IF(W43=0,"",ROUND((V43/W43)*10,0))</f>
        <v/>
      </c>
    </row>
    <row r="44">
      <c r="A44" s="18" t="inlineStr">
        <is>
          <t>Anu Vijay Anand</t>
        </is>
      </c>
      <c r="B44" s="19" t="n"/>
      <c r="C44" s="6" t="n"/>
      <c r="D44" s="19" t="n"/>
      <c r="E44" s="6" t="n"/>
      <c r="F44" s="19" t="n"/>
      <c r="G44" s="6" t="n"/>
      <c r="H44" s="19" t="n"/>
      <c r="I44" s="6" t="n"/>
      <c r="J44" s="19" t="n"/>
      <c r="K44" s="6" t="n"/>
      <c r="L44" s="19" t="n"/>
      <c r="M44" s="6" t="n"/>
      <c r="N44" s="19" t="n"/>
      <c r="O44" s="6" t="n"/>
      <c r="P44" s="19" t="n"/>
      <c r="Q44" s="6" t="n"/>
      <c r="R44" s="19" t="n"/>
      <c r="S44" s="6" t="n"/>
      <c r="T44" s="19" t="n"/>
      <c r="U44" s="6" t="n"/>
      <c r="V44" s="20">
        <f>SUM(B44,D44,F44,H44,J44,L44,N44,P44,R44,T44)</f>
        <v/>
      </c>
      <c r="W44" s="19">
        <f>COUNTIF(C44,"P")+COUNTIF(E44,"P")+COUNTIF(G44,"P")+COUNTIF(I44,"P")+COUNTIF(K44,"P")+COUNTIF(M44,"P")+COUNTIF(O44,"P")+COUNTIF(Q44,"P")+COUNTIF(S44,"P")+COUNTIF(U44,"P")</f>
        <v/>
      </c>
      <c r="X44" s="19">
        <f>COUNTIF(C44,"A")+COUNTIF(E44,"A")+COUNTIF(G44,"A")+COUNTIF(I44,"A")+COUNTIF(K44,"A")+COUNTIF(M44,"A")+COUNTIF(O44,"A")+COUNTIF(Q44,"A")+COUNTIF(S44,"A")+COUNTIF(U44,"A")</f>
        <v/>
      </c>
      <c r="Y44" s="19" t="n"/>
      <c r="Z44" s="19">
        <f>IF(Y44="","",Y44-V44)</f>
        <v/>
      </c>
      <c r="AA44" s="21">
        <f>IF(OR(Y44="",Y44=0),"",V44/Y44)</f>
        <v/>
      </c>
      <c r="AB44" s="22">
        <f>IF(OR(Y44="",Y44=0),"",IF((10-W44-X44)&lt;=0,"N/A",Z44/(10-W44-X44)))</f>
        <v/>
      </c>
      <c r="AC44" s="19">
        <f>IF(W44=0,"",ROUND((V44/W44)*10,0))</f>
        <v/>
      </c>
    </row>
    <row r="45">
      <c r="A45" s="18" t="inlineStr">
        <is>
          <t>Aadhya Gone</t>
        </is>
      </c>
      <c r="B45" s="19" t="n"/>
      <c r="C45" s="6" t="n"/>
      <c r="D45" s="19" t="n"/>
      <c r="E45" s="6" t="n"/>
      <c r="F45" s="19" t="n"/>
      <c r="G45" s="6" t="n"/>
      <c r="H45" s="19" t="n"/>
      <c r="I45" s="6" t="n"/>
      <c r="J45" s="19" t="n"/>
      <c r="K45" s="6" t="n"/>
      <c r="L45" s="19" t="n"/>
      <c r="M45" s="6" t="n"/>
      <c r="N45" s="19" t="n"/>
      <c r="O45" s="6" t="n"/>
      <c r="P45" s="19" t="n"/>
      <c r="Q45" s="6" t="n"/>
      <c r="R45" s="19" t="n"/>
      <c r="S45" s="6" t="n"/>
      <c r="T45" s="19" t="n"/>
      <c r="U45" s="6" t="n"/>
      <c r="V45" s="20">
        <f>SUM(B45,D45,F45,H45,J45,L45,N45,P45,R45,T45)</f>
        <v/>
      </c>
      <c r="W45" s="19">
        <f>COUNTIF(C45,"P")+COUNTIF(E45,"P")+COUNTIF(G45,"P")+COUNTIF(I45,"P")+COUNTIF(K45,"P")+COUNTIF(M45,"P")+COUNTIF(O45,"P")+COUNTIF(Q45,"P")+COUNTIF(S45,"P")+COUNTIF(U45,"P")</f>
        <v/>
      </c>
      <c r="X45" s="19">
        <f>COUNTIF(C45,"A")+COUNTIF(E45,"A")+COUNTIF(G45,"A")+COUNTIF(I45,"A")+COUNTIF(K45,"A")+COUNTIF(M45,"A")+COUNTIF(O45,"A")+COUNTIF(Q45,"A")+COUNTIF(S45,"A")+COUNTIF(U45,"A")</f>
        <v/>
      </c>
      <c r="Y45" s="19" t="n"/>
      <c r="Z45" s="19">
        <f>IF(Y45="","",Y45-V45)</f>
        <v/>
      </c>
      <c r="AA45" s="21">
        <f>IF(OR(Y45="",Y45=0),"",V45/Y45)</f>
        <v/>
      </c>
      <c r="AB45" s="22">
        <f>IF(OR(Y45="",Y45=0),"",IF((10-W45-X45)&lt;=0,"N/A",Z45/(10-W45-X45)))</f>
        <v/>
      </c>
      <c r="AC45" s="19">
        <f>IF(W45=0,"",ROUND((V45/W45)*10,0))</f>
        <v/>
      </c>
    </row>
    <row r="46">
      <c r="A46" s="18" t="inlineStr">
        <is>
          <t>Sumeyah Khan</t>
        </is>
      </c>
      <c r="B46" s="19" t="n"/>
      <c r="C46" s="6" t="n"/>
      <c r="D46" s="19" t="n"/>
      <c r="E46" s="6" t="n"/>
      <c r="F46" s="19" t="n"/>
      <c r="G46" s="6" t="n"/>
      <c r="H46" s="19" t="n"/>
      <c r="I46" s="6" t="n"/>
      <c r="J46" s="19" t="n"/>
      <c r="K46" s="6" t="n"/>
      <c r="L46" s="19" t="n"/>
      <c r="M46" s="6" t="n"/>
      <c r="N46" s="19" t="n"/>
      <c r="O46" s="6" t="n"/>
      <c r="P46" s="19" t="n"/>
      <c r="Q46" s="6" t="n"/>
      <c r="R46" s="19" t="n"/>
      <c r="S46" s="6" t="n"/>
      <c r="T46" s="19" t="n"/>
      <c r="U46" s="6" t="n"/>
      <c r="V46" s="20">
        <f>SUM(B46,D46,F46,H46,J46,L46,N46,P46,R46,T46)</f>
        <v/>
      </c>
      <c r="W46" s="19">
        <f>COUNTIF(C46,"P")+COUNTIF(E46,"P")+COUNTIF(G46,"P")+COUNTIF(I46,"P")+COUNTIF(K46,"P")+COUNTIF(M46,"P")+COUNTIF(O46,"P")+COUNTIF(Q46,"P")+COUNTIF(S46,"P")+COUNTIF(U46,"P")</f>
        <v/>
      </c>
      <c r="X46" s="19">
        <f>COUNTIF(C46,"A")+COUNTIF(E46,"A")+COUNTIF(G46,"A")+COUNTIF(I46,"A")+COUNTIF(K46,"A")+COUNTIF(M46,"A")+COUNTIF(O46,"A")+COUNTIF(Q46,"A")+COUNTIF(S46,"A")+COUNTIF(U46,"A")</f>
        <v/>
      </c>
      <c r="Y46" s="19" t="n"/>
      <c r="Z46" s="19">
        <f>IF(Y46="","",Y46-V46)</f>
        <v/>
      </c>
      <c r="AA46" s="21">
        <f>IF(OR(Y46="",Y46=0),"",V46/Y46)</f>
        <v/>
      </c>
      <c r="AB46" s="22">
        <f>IF(OR(Y46="",Y46=0),"",IF((10-W46-X46)&lt;=0,"N/A",Z46/(10-W46-X46)))</f>
        <v/>
      </c>
      <c r="AC46" s="19">
        <f>IF(W46=0,"",ROUND((V46/W46)*10,0))</f>
        <v/>
      </c>
    </row>
    <row r="47">
      <c r="A47" s="18" t="inlineStr">
        <is>
          <t>Maria Mujeeb</t>
        </is>
      </c>
      <c r="B47" s="19" t="n"/>
      <c r="C47" s="6" t="n"/>
      <c r="D47" s="19" t="n"/>
      <c r="E47" s="6" t="n"/>
      <c r="F47" s="19" t="n"/>
      <c r="G47" s="6" t="n"/>
      <c r="H47" s="19" t="n"/>
      <c r="I47" s="6" t="n"/>
      <c r="J47" s="19" t="n"/>
      <c r="K47" s="6" t="n"/>
      <c r="L47" s="19" t="n"/>
      <c r="M47" s="6" t="n"/>
      <c r="N47" s="19" t="n"/>
      <c r="O47" s="6" t="n"/>
      <c r="P47" s="19" t="n"/>
      <c r="Q47" s="6" t="n"/>
      <c r="R47" s="19" t="n"/>
      <c r="S47" s="6" t="n"/>
      <c r="T47" s="19" t="n"/>
      <c r="U47" s="6" t="n"/>
      <c r="V47" s="20">
        <f>SUM(B47,D47,F47,H47,J47,L47,N47,P47,R47,T47)</f>
        <v/>
      </c>
      <c r="W47" s="19">
        <f>COUNTIF(C47,"P")+COUNTIF(E47,"P")+COUNTIF(G47,"P")+COUNTIF(I47,"P")+COUNTIF(K47,"P")+COUNTIF(M47,"P")+COUNTIF(O47,"P")+COUNTIF(Q47,"P")+COUNTIF(S47,"P")+COUNTIF(U47,"P")</f>
        <v/>
      </c>
      <c r="X47" s="19">
        <f>COUNTIF(C47,"A")+COUNTIF(E47,"A")+COUNTIF(G47,"A")+COUNTIF(I47,"A")+COUNTIF(K47,"A")+COUNTIF(M47,"A")+COUNTIF(O47,"A")+COUNTIF(Q47,"A")+COUNTIF(S47,"A")+COUNTIF(U47,"A")</f>
        <v/>
      </c>
      <c r="Y47" s="19" t="n"/>
      <c r="Z47" s="19">
        <f>IF(Y47="","",Y47-V47)</f>
        <v/>
      </c>
      <c r="AA47" s="21">
        <f>IF(OR(Y47="",Y47=0),"",V47/Y47)</f>
        <v/>
      </c>
      <c r="AB47" s="22">
        <f>IF(OR(Y47="",Y47=0),"",IF((10-W47-X47)&lt;=0,"N/A",Z47/(10-W47-X47)))</f>
        <v/>
      </c>
      <c r="AC47" s="19">
        <f>IF(W47=0,"",ROUND((V47/W47)*10,0))</f>
        <v/>
      </c>
    </row>
    <row r="48">
      <c r="A48" s="18" t="inlineStr">
        <is>
          <t>Jace Ratliff</t>
        </is>
      </c>
      <c r="B48" s="19" t="n"/>
      <c r="C48" s="6" t="n"/>
      <c r="D48" s="19" t="n"/>
      <c r="E48" s="6" t="n"/>
      <c r="F48" s="19" t="n"/>
      <c r="G48" s="6" t="n"/>
      <c r="H48" s="19" t="n"/>
      <c r="I48" s="6" t="n"/>
      <c r="J48" s="19" t="n"/>
      <c r="K48" s="6" t="n"/>
      <c r="L48" s="19" t="n"/>
      <c r="M48" s="6" t="n"/>
      <c r="N48" s="19" t="n"/>
      <c r="O48" s="6" t="n"/>
      <c r="P48" s="19" t="n"/>
      <c r="Q48" s="6" t="n"/>
      <c r="R48" s="19" t="n"/>
      <c r="S48" s="6" t="n"/>
      <c r="T48" s="19" t="n"/>
      <c r="U48" s="6" t="n"/>
      <c r="V48" s="20">
        <f>SUM(B48,D48,F48,H48,J48,L48,N48,P48,R48,T48)</f>
        <v/>
      </c>
      <c r="W48" s="19">
        <f>COUNTIF(C48,"P")+COUNTIF(E48,"P")+COUNTIF(G48,"P")+COUNTIF(I48,"P")+COUNTIF(K48,"P")+COUNTIF(M48,"P")+COUNTIF(O48,"P")+COUNTIF(Q48,"P")+COUNTIF(S48,"P")+COUNTIF(U48,"P")</f>
        <v/>
      </c>
      <c r="X48" s="19">
        <f>COUNTIF(C48,"A")+COUNTIF(E48,"A")+COUNTIF(G48,"A")+COUNTIF(I48,"A")+COUNTIF(K48,"A")+COUNTIF(M48,"A")+COUNTIF(O48,"A")+COUNTIF(Q48,"A")+COUNTIF(S48,"A")+COUNTIF(U48,"A")</f>
        <v/>
      </c>
      <c r="Y48" s="19" t="n"/>
      <c r="Z48" s="19">
        <f>IF(Y48="","",Y48-V48)</f>
        <v/>
      </c>
      <c r="AA48" s="21">
        <f>IF(OR(Y48="",Y48=0),"",V48/Y48)</f>
        <v/>
      </c>
      <c r="AB48" s="22">
        <f>IF(OR(Y48="",Y48=0),"",IF((10-W48-X48)&lt;=0,"N/A",Z48/(10-W48-X48)))</f>
        <v/>
      </c>
      <c r="AC48" s="19">
        <f>IF(W48=0,"",ROUND((V48/W48)*10,0))</f>
        <v/>
      </c>
    </row>
    <row r="49">
      <c r="A49" s="18" t="inlineStr">
        <is>
          <t>Evan Allen</t>
        </is>
      </c>
      <c r="B49" s="19" t="n"/>
      <c r="C49" s="6" t="n"/>
      <c r="D49" s="19" t="n"/>
      <c r="E49" s="6" t="n"/>
      <c r="F49" s="19" t="n"/>
      <c r="G49" s="6" t="n"/>
      <c r="H49" s="19" t="n"/>
      <c r="I49" s="6" t="n"/>
      <c r="J49" s="19" t="n"/>
      <c r="K49" s="6" t="n"/>
      <c r="L49" s="19" t="n"/>
      <c r="M49" s="6" t="n"/>
      <c r="N49" s="19" t="n"/>
      <c r="O49" s="6" t="n"/>
      <c r="P49" s="19" t="n"/>
      <c r="Q49" s="6" t="n"/>
      <c r="R49" s="19" t="n"/>
      <c r="S49" s="6" t="n"/>
      <c r="T49" s="19" t="n"/>
      <c r="U49" s="6" t="n"/>
      <c r="V49" s="20">
        <f>SUM(B49,D49,F49,H49,J49,L49,N49,P49,R49,T49)</f>
        <v/>
      </c>
      <c r="W49" s="19">
        <f>COUNTIF(C49,"P")+COUNTIF(E49,"P")+COUNTIF(G49,"P")+COUNTIF(I49,"P")+COUNTIF(K49,"P")+COUNTIF(M49,"P")+COUNTIF(O49,"P")+COUNTIF(Q49,"P")+COUNTIF(S49,"P")+COUNTIF(U49,"P")</f>
        <v/>
      </c>
      <c r="X49" s="19">
        <f>COUNTIF(C49,"A")+COUNTIF(E49,"A")+COUNTIF(G49,"A")+COUNTIF(I49,"A")+COUNTIF(K49,"A")+COUNTIF(M49,"A")+COUNTIF(O49,"A")+COUNTIF(Q49,"A")+COUNTIF(S49,"A")+COUNTIF(U49,"A")</f>
        <v/>
      </c>
      <c r="Y49" s="19" t="n"/>
      <c r="Z49" s="19">
        <f>IF(Y49="","",Y49-V49)</f>
        <v/>
      </c>
      <c r="AA49" s="21">
        <f>IF(OR(Y49="",Y49=0),"",V49/Y49)</f>
        <v/>
      </c>
      <c r="AB49" s="22">
        <f>IF(OR(Y49="",Y49=0),"",IF((10-W49-X49)&lt;=0,"N/A",Z49/(10-W49-X49)))</f>
        <v/>
      </c>
      <c r="AC49" s="19">
        <f>IF(W49=0,"",ROUND((V49/W49)*10,0))</f>
        <v/>
      </c>
    </row>
    <row r="50">
      <c r="A50" s="18" t="inlineStr">
        <is>
          <t>Sai Neelagiri</t>
        </is>
      </c>
      <c r="B50" s="19" t="n"/>
      <c r="C50" s="6" t="n"/>
      <c r="D50" s="19" t="n"/>
      <c r="E50" s="6" t="n"/>
      <c r="F50" s="19" t="n"/>
      <c r="G50" s="6" t="n"/>
      <c r="H50" s="19" t="n"/>
      <c r="I50" s="6" t="n"/>
      <c r="J50" s="19" t="n"/>
      <c r="K50" s="6" t="n"/>
      <c r="L50" s="19" t="n"/>
      <c r="M50" s="6" t="n"/>
      <c r="N50" s="19" t="n"/>
      <c r="O50" s="6" t="n"/>
      <c r="P50" s="19" t="n"/>
      <c r="Q50" s="6" t="n"/>
      <c r="R50" s="19" t="n"/>
      <c r="S50" s="6" t="n"/>
      <c r="T50" s="19" t="n"/>
      <c r="U50" s="6" t="n"/>
      <c r="V50" s="20">
        <f>SUM(B50,D50,F50,H50,J50,L50,N50,P50,R50,T50)</f>
        <v/>
      </c>
      <c r="W50" s="19">
        <f>COUNTIF(C50,"P")+COUNTIF(E50,"P")+COUNTIF(G50,"P")+COUNTIF(I50,"P")+COUNTIF(K50,"P")+COUNTIF(M50,"P")+COUNTIF(O50,"P")+COUNTIF(Q50,"P")+COUNTIF(S50,"P")+COUNTIF(U50,"P")</f>
        <v/>
      </c>
      <c r="X50" s="19">
        <f>COUNTIF(C50,"A")+COUNTIF(E50,"A")+COUNTIF(G50,"A")+COUNTIF(I50,"A")+COUNTIF(K50,"A")+COUNTIF(M50,"A")+COUNTIF(O50,"A")+COUNTIF(Q50,"A")+COUNTIF(S50,"A")+COUNTIF(U50,"A")</f>
        <v/>
      </c>
      <c r="Y50" s="19" t="n"/>
      <c r="Z50" s="19">
        <f>IF(Y50="","",Y50-V50)</f>
        <v/>
      </c>
      <c r="AA50" s="21">
        <f>IF(OR(Y50="",Y50=0),"",V50/Y50)</f>
        <v/>
      </c>
      <c r="AB50" s="22">
        <f>IF(OR(Y50="",Y50=0),"",IF((10-W50-X50)&lt;=0,"N/A",Z50/(10-W50-X50)))</f>
        <v/>
      </c>
      <c r="AC50" s="19">
        <f>IF(W50=0,"",ROUND((V50/W50)*10,0))</f>
        <v/>
      </c>
    </row>
    <row r="51">
      <c r="A51" s="18" t="inlineStr">
        <is>
          <t>Fletcher Meese</t>
        </is>
      </c>
      <c r="B51" s="19" t="n"/>
      <c r="C51" s="6" t="n"/>
      <c r="D51" s="19" t="n"/>
      <c r="E51" s="6" t="n"/>
      <c r="F51" s="19" t="n"/>
      <c r="G51" s="6" t="n"/>
      <c r="H51" s="19" t="n"/>
      <c r="I51" s="6" t="n"/>
      <c r="J51" s="19" t="n"/>
      <c r="K51" s="6" t="n"/>
      <c r="L51" s="19" t="n"/>
      <c r="M51" s="6" t="n"/>
      <c r="N51" s="19" t="n"/>
      <c r="O51" s="6" t="n"/>
      <c r="P51" s="19" t="n"/>
      <c r="Q51" s="6" t="n"/>
      <c r="R51" s="19" t="n"/>
      <c r="S51" s="6" t="n"/>
      <c r="T51" s="19" t="n"/>
      <c r="U51" s="6" t="n"/>
      <c r="V51" s="20">
        <f>SUM(B51,D51,F51,H51,J51,L51,N51,P51,R51,T51)</f>
        <v/>
      </c>
      <c r="W51" s="19">
        <f>COUNTIF(C51,"P")+COUNTIF(E51,"P")+COUNTIF(G51,"P")+COUNTIF(I51,"P")+COUNTIF(K51,"P")+COUNTIF(M51,"P")+COUNTIF(O51,"P")+COUNTIF(Q51,"P")+COUNTIF(S51,"P")+COUNTIF(U51,"P")</f>
        <v/>
      </c>
      <c r="X51" s="19">
        <f>COUNTIF(C51,"A")+COUNTIF(E51,"A")+COUNTIF(G51,"A")+COUNTIF(I51,"A")+COUNTIF(K51,"A")+COUNTIF(M51,"A")+COUNTIF(O51,"A")+COUNTIF(Q51,"A")+COUNTIF(S51,"A")+COUNTIF(U51,"A")</f>
        <v/>
      </c>
      <c r="Y51" s="19" t="n"/>
      <c r="Z51" s="19">
        <f>IF(Y51="","",Y51-V51)</f>
        <v/>
      </c>
      <c r="AA51" s="21">
        <f>IF(OR(Y51="",Y51=0),"",V51/Y51)</f>
        <v/>
      </c>
      <c r="AB51" s="22">
        <f>IF(OR(Y51="",Y51=0),"",IF((10-W51-X51)&lt;=0,"N/A",Z51/(10-W51-X51)))</f>
        <v/>
      </c>
      <c r="AC51" s="19">
        <f>IF(W51=0,"",ROUND((V51/W51)*10,0))</f>
        <v/>
      </c>
    </row>
    <row r="52">
      <c r="A52" s="18" t="inlineStr">
        <is>
          <t>Elijah Aldaco</t>
        </is>
      </c>
      <c r="B52" s="19" t="n"/>
      <c r="C52" s="6" t="n"/>
      <c r="D52" s="19" t="n"/>
      <c r="E52" s="6" t="n"/>
      <c r="F52" s="19" t="n"/>
      <c r="G52" s="6" t="n"/>
      <c r="H52" s="19" t="n"/>
      <c r="I52" s="6" t="n"/>
      <c r="J52" s="19" t="n"/>
      <c r="K52" s="6" t="n"/>
      <c r="L52" s="19" t="n"/>
      <c r="M52" s="6" t="n"/>
      <c r="N52" s="19" t="n"/>
      <c r="O52" s="6" t="n"/>
      <c r="P52" s="19" t="n"/>
      <c r="Q52" s="6" t="n"/>
      <c r="R52" s="19" t="n"/>
      <c r="S52" s="6" t="n"/>
      <c r="T52" s="19" t="n"/>
      <c r="U52" s="6" t="n"/>
      <c r="V52" s="20">
        <f>SUM(B52,D52,F52,H52,J52,L52,N52,P52,R52,T52)</f>
        <v/>
      </c>
      <c r="W52" s="19">
        <f>COUNTIF(C52,"P")+COUNTIF(E52,"P")+COUNTIF(G52,"P")+COUNTIF(I52,"P")+COUNTIF(K52,"P")+COUNTIF(M52,"P")+COUNTIF(O52,"P")+COUNTIF(Q52,"P")+COUNTIF(S52,"P")+COUNTIF(U52,"P")</f>
        <v/>
      </c>
      <c r="X52" s="19">
        <f>COUNTIF(C52,"A")+COUNTIF(E52,"A")+COUNTIF(G52,"A")+COUNTIF(I52,"A")+COUNTIF(K52,"A")+COUNTIF(M52,"A")+COUNTIF(O52,"A")+COUNTIF(Q52,"A")+COUNTIF(S52,"A")+COUNTIF(U52,"A")</f>
        <v/>
      </c>
      <c r="Y52" s="19" t="n"/>
      <c r="Z52" s="19">
        <f>IF(Y52="","",Y52-V52)</f>
        <v/>
      </c>
      <c r="AA52" s="21">
        <f>IF(OR(Y52="",Y52=0),"",V52/Y52)</f>
        <v/>
      </c>
      <c r="AB52" s="22">
        <f>IF(OR(Y52="",Y52=0),"",IF((10-W52-X52)&lt;=0,"N/A",Z52/(10-W52-X52)))</f>
        <v/>
      </c>
      <c r="AC52" s="19">
        <f>IF(W52=0,"",ROUND((V52/W52)*10,0))</f>
        <v/>
      </c>
    </row>
    <row r="53">
      <c r="A53" s="18" t="inlineStr">
        <is>
          <t>Cain Gutierrez</t>
        </is>
      </c>
      <c r="B53" s="19" t="n"/>
      <c r="C53" s="6" t="n"/>
      <c r="D53" s="19" t="n"/>
      <c r="E53" s="6" t="n"/>
      <c r="F53" s="19" t="n"/>
      <c r="G53" s="6" t="n"/>
      <c r="H53" s="19" t="n"/>
      <c r="I53" s="6" t="n"/>
      <c r="J53" s="19" t="n"/>
      <c r="K53" s="6" t="n"/>
      <c r="L53" s="19" t="n"/>
      <c r="M53" s="6" t="n"/>
      <c r="N53" s="19" t="n"/>
      <c r="O53" s="6" t="n"/>
      <c r="P53" s="19" t="n"/>
      <c r="Q53" s="6" t="n"/>
      <c r="R53" s="19" t="n"/>
      <c r="S53" s="6" t="n"/>
      <c r="T53" s="19" t="n"/>
      <c r="U53" s="6" t="n"/>
      <c r="V53" s="20">
        <f>SUM(B53,D53,F53,H53,J53,L53,N53,P53,R53,T53)</f>
        <v/>
      </c>
      <c r="W53" s="19">
        <f>COUNTIF(C53,"P")+COUNTIF(E53,"P")+COUNTIF(G53,"P")+COUNTIF(I53,"P")+COUNTIF(K53,"P")+COUNTIF(M53,"P")+COUNTIF(O53,"P")+COUNTIF(Q53,"P")+COUNTIF(S53,"P")+COUNTIF(U53,"P")</f>
        <v/>
      </c>
      <c r="X53" s="19">
        <f>COUNTIF(C53,"A")+COUNTIF(E53,"A")+COUNTIF(G53,"A")+COUNTIF(I53,"A")+COUNTIF(K53,"A")+COUNTIF(M53,"A")+COUNTIF(O53,"A")+COUNTIF(Q53,"A")+COUNTIF(S53,"A")+COUNTIF(U53,"A")</f>
        <v/>
      </c>
      <c r="Y53" s="19" t="n"/>
      <c r="Z53" s="19">
        <f>IF(Y53="","",Y53-V53)</f>
        <v/>
      </c>
      <c r="AA53" s="21">
        <f>IF(OR(Y53="",Y53=0),"",V53/Y53)</f>
        <v/>
      </c>
      <c r="AB53" s="22">
        <f>IF(OR(Y53="",Y53=0),"",IF((10-W53-X53)&lt;=0,"N/A",Z53/(10-W53-X53)))</f>
        <v/>
      </c>
      <c r="AC53" s="19">
        <f>IF(W53=0,"",ROUND((V53/W53)*10,0))</f>
        <v/>
      </c>
    </row>
    <row r="54">
      <c r="A54" s="18" t="inlineStr">
        <is>
          <t>Grayson Barnhart</t>
        </is>
      </c>
      <c r="B54" s="19" t="n"/>
      <c r="C54" s="6" t="n"/>
      <c r="D54" s="19" t="n"/>
      <c r="E54" s="6" t="n"/>
      <c r="F54" s="19" t="n"/>
      <c r="G54" s="6" t="n"/>
      <c r="H54" s="19" t="n"/>
      <c r="I54" s="6" t="n"/>
      <c r="J54" s="19" t="n"/>
      <c r="K54" s="6" t="n"/>
      <c r="L54" s="19" t="n"/>
      <c r="M54" s="6" t="n"/>
      <c r="N54" s="19" t="n"/>
      <c r="O54" s="6" t="n"/>
      <c r="P54" s="19" t="n"/>
      <c r="Q54" s="6" t="n"/>
      <c r="R54" s="19" t="n"/>
      <c r="S54" s="6" t="n"/>
      <c r="T54" s="19" t="n"/>
      <c r="U54" s="6" t="n"/>
      <c r="V54" s="20">
        <f>SUM(B54,D54,F54,H54,J54,L54,N54,P54,R54,T54)</f>
        <v/>
      </c>
      <c r="W54" s="19">
        <f>COUNTIF(C54,"P")+COUNTIF(E54,"P")+COUNTIF(G54,"P")+COUNTIF(I54,"P")+COUNTIF(K54,"P")+COUNTIF(M54,"P")+COUNTIF(O54,"P")+COUNTIF(Q54,"P")+COUNTIF(S54,"P")+COUNTIF(U54,"P")</f>
        <v/>
      </c>
      <c r="X54" s="19">
        <f>COUNTIF(C54,"A")+COUNTIF(E54,"A")+COUNTIF(G54,"A")+COUNTIF(I54,"A")+COUNTIF(K54,"A")+COUNTIF(M54,"A")+COUNTIF(O54,"A")+COUNTIF(Q54,"A")+COUNTIF(S54,"A")+COUNTIF(U54,"A")</f>
        <v/>
      </c>
      <c r="Y54" s="19" t="n"/>
      <c r="Z54" s="19">
        <f>IF(Y54="","",Y54-V54)</f>
        <v/>
      </c>
      <c r="AA54" s="21">
        <f>IF(OR(Y54="",Y54=0),"",V54/Y54)</f>
        <v/>
      </c>
      <c r="AB54" s="22">
        <f>IF(OR(Y54="",Y54=0),"",IF((10-W54-X54)&lt;=0,"N/A",Z54/(10-W54-X54)))</f>
        <v/>
      </c>
      <c r="AC54" s="19">
        <f>IF(W54=0,"",ROUND((V54/W54)*10,0))</f>
        <v/>
      </c>
    </row>
    <row r="55">
      <c r="A55" s="18" t="inlineStr">
        <is>
          <t>Abel Abraham</t>
        </is>
      </c>
      <c r="B55" s="19" t="n"/>
      <c r="C55" s="6" t="n"/>
      <c r="D55" s="19" t="n"/>
      <c r="E55" s="6" t="n"/>
      <c r="F55" s="19" t="n"/>
      <c r="G55" s="6" t="n"/>
      <c r="H55" s="19" t="n"/>
      <c r="I55" s="6" t="n"/>
      <c r="J55" s="19" t="n"/>
      <c r="K55" s="6" t="n"/>
      <c r="L55" s="19" t="n"/>
      <c r="M55" s="6" t="n"/>
      <c r="N55" s="19" t="n"/>
      <c r="O55" s="6" t="n"/>
      <c r="P55" s="19" t="n"/>
      <c r="Q55" s="6" t="n"/>
      <c r="R55" s="19" t="n"/>
      <c r="S55" s="6" t="n"/>
      <c r="T55" s="19" t="n"/>
      <c r="U55" s="6" t="n"/>
      <c r="V55" s="20">
        <f>SUM(B55,D55,F55,H55,J55,L55,N55,P55,R55,T55)</f>
        <v/>
      </c>
      <c r="W55" s="19">
        <f>COUNTIF(C55,"P")+COUNTIF(E55,"P")+COUNTIF(G55,"P")+COUNTIF(I55,"P")+COUNTIF(K55,"P")+COUNTIF(M55,"P")+COUNTIF(O55,"P")+COUNTIF(Q55,"P")+COUNTIF(S55,"P")+COUNTIF(U55,"P")</f>
        <v/>
      </c>
      <c r="X55" s="19">
        <f>COUNTIF(C55,"A")+COUNTIF(E55,"A")+COUNTIF(G55,"A")+COUNTIF(I55,"A")+COUNTIF(K55,"A")+COUNTIF(M55,"A")+COUNTIF(O55,"A")+COUNTIF(Q55,"A")+COUNTIF(S55,"A")+COUNTIF(U55,"A")</f>
        <v/>
      </c>
      <c r="Y55" s="19" t="n"/>
      <c r="Z55" s="19">
        <f>IF(Y55="","",Y55-V55)</f>
        <v/>
      </c>
      <c r="AA55" s="21">
        <f>IF(OR(Y55="",Y55=0),"",V55/Y55)</f>
        <v/>
      </c>
      <c r="AB55" s="22">
        <f>IF(OR(Y55="",Y55=0),"",IF((10-W55-X55)&lt;=0,"N/A",Z55/(10-W55-X55)))</f>
        <v/>
      </c>
      <c r="AC55" s="19">
        <f>IF(W55=0,"",ROUND((V55/W55)*10,0))</f>
        <v/>
      </c>
    </row>
    <row r="56">
      <c r="A56" s="18" t="inlineStr">
        <is>
          <t>John Joby</t>
        </is>
      </c>
      <c r="B56" s="19" t="n"/>
      <c r="C56" s="6" t="n"/>
      <c r="D56" s="19" t="n"/>
      <c r="E56" s="6" t="n"/>
      <c r="F56" s="19" t="n"/>
      <c r="G56" s="6" t="n"/>
      <c r="H56" s="19" t="n"/>
      <c r="I56" s="6" t="n"/>
      <c r="J56" s="19" t="n"/>
      <c r="K56" s="6" t="n"/>
      <c r="L56" s="19" t="n"/>
      <c r="M56" s="6" t="n"/>
      <c r="N56" s="19" t="n"/>
      <c r="O56" s="6" t="n"/>
      <c r="P56" s="19" t="n"/>
      <c r="Q56" s="6" t="n"/>
      <c r="R56" s="19" t="n"/>
      <c r="S56" s="6" t="n"/>
      <c r="T56" s="19" t="n"/>
      <c r="U56" s="6" t="n"/>
      <c r="V56" s="20">
        <f>SUM(B56,D56,F56,H56,J56,L56,N56,P56,R56,T56)</f>
        <v/>
      </c>
      <c r="W56" s="19">
        <f>COUNTIF(C56,"P")+COUNTIF(E56,"P")+COUNTIF(G56,"P")+COUNTIF(I56,"P")+COUNTIF(K56,"P")+COUNTIF(M56,"P")+COUNTIF(O56,"P")+COUNTIF(Q56,"P")+COUNTIF(S56,"P")+COUNTIF(U56,"P")</f>
        <v/>
      </c>
      <c r="X56" s="19">
        <f>COUNTIF(C56,"A")+COUNTIF(E56,"A")+COUNTIF(G56,"A")+COUNTIF(I56,"A")+COUNTIF(K56,"A")+COUNTIF(M56,"A")+COUNTIF(O56,"A")+COUNTIF(Q56,"A")+COUNTIF(S56,"A")+COUNTIF(U56,"A")</f>
        <v/>
      </c>
      <c r="Y56" s="19" t="n"/>
      <c r="Z56" s="19">
        <f>IF(Y56="","",Y56-V56)</f>
        <v/>
      </c>
      <c r="AA56" s="21">
        <f>IF(OR(Y56="",Y56=0),"",V56/Y56)</f>
        <v/>
      </c>
      <c r="AB56" s="22">
        <f>IF(OR(Y56="",Y56=0),"",IF((10-W56-X56)&lt;=0,"N/A",Z56/(10-W56-X56)))</f>
        <v/>
      </c>
      <c r="AC56" s="19">
        <f>IF(W56=0,"",ROUND((V56/W56)*10,0))</f>
        <v/>
      </c>
    </row>
    <row r="57">
      <c r="A57" s="18" t="inlineStr">
        <is>
          <t>Jason Bean</t>
        </is>
      </c>
      <c r="B57" s="19" t="n"/>
      <c r="C57" s="6" t="n"/>
      <c r="D57" s="19" t="n"/>
      <c r="E57" s="6" t="n"/>
      <c r="F57" s="19" t="n"/>
      <c r="G57" s="6" t="n"/>
      <c r="H57" s="19" t="n"/>
      <c r="I57" s="6" t="n"/>
      <c r="J57" s="19" t="n"/>
      <c r="K57" s="6" t="n"/>
      <c r="L57" s="19" t="n"/>
      <c r="M57" s="6" t="n"/>
      <c r="N57" s="19" t="n"/>
      <c r="O57" s="6" t="n"/>
      <c r="P57" s="19" t="n"/>
      <c r="Q57" s="6" t="n"/>
      <c r="R57" s="19" t="n"/>
      <c r="S57" s="6" t="n"/>
      <c r="T57" s="19" t="n"/>
      <c r="U57" s="6" t="n"/>
      <c r="V57" s="20">
        <f>SUM(B57,D57,F57,H57,J57,L57,N57,P57,R57,T57)</f>
        <v/>
      </c>
      <c r="W57" s="19">
        <f>COUNTIF(C57,"P")+COUNTIF(E57,"P")+COUNTIF(G57,"P")+COUNTIF(I57,"P")+COUNTIF(K57,"P")+COUNTIF(M57,"P")+COUNTIF(O57,"P")+COUNTIF(Q57,"P")+COUNTIF(S57,"P")+COUNTIF(U57,"P")</f>
        <v/>
      </c>
      <c r="X57" s="19">
        <f>COUNTIF(C57,"A")+COUNTIF(E57,"A")+COUNTIF(G57,"A")+COUNTIF(I57,"A")+COUNTIF(K57,"A")+COUNTIF(M57,"A")+COUNTIF(O57,"A")+COUNTIF(Q57,"A")+COUNTIF(S57,"A")+COUNTIF(U57,"A")</f>
        <v/>
      </c>
      <c r="Y57" s="19" t="n"/>
      <c r="Z57" s="19">
        <f>IF(Y57="","",Y57-V57)</f>
        <v/>
      </c>
      <c r="AA57" s="21">
        <f>IF(OR(Y57="",Y57=0),"",V57/Y57)</f>
        <v/>
      </c>
      <c r="AB57" s="22">
        <f>IF(OR(Y57="",Y57=0),"",IF((10-W57-X57)&lt;=0,"N/A",Z57/(10-W57-X57)))</f>
        <v/>
      </c>
      <c r="AC57" s="19">
        <f>IF(W57=0,"",ROUND((V57/W57)*10,0))</f>
        <v/>
      </c>
    </row>
    <row r="60">
      <c r="A60" s="24" t="inlineStr">
        <is>
          <t>Q4 — Quarter 4</t>
        </is>
      </c>
    </row>
    <row r="61">
      <c r="A61" s="17" t="inlineStr">
        <is>
          <t>Student Name</t>
        </is>
      </c>
      <c r="B61" s="17" t="inlineStr">
        <is>
          <t>Sess 1</t>
        </is>
      </c>
      <c r="C61" s="17" t="inlineStr">
        <is>
          <t>Att 1</t>
        </is>
      </c>
      <c r="D61" s="17" t="inlineStr">
        <is>
          <t>Sess 2</t>
        </is>
      </c>
      <c r="E61" s="17" t="inlineStr">
        <is>
          <t>Att 2</t>
        </is>
      </c>
      <c r="F61" s="17" t="inlineStr">
        <is>
          <t>Sess 3</t>
        </is>
      </c>
      <c r="G61" s="17" t="inlineStr">
        <is>
          <t>Att 3</t>
        </is>
      </c>
      <c r="H61" s="17" t="inlineStr">
        <is>
          <t>Sess 4</t>
        </is>
      </c>
      <c r="I61" s="17" t="inlineStr">
        <is>
          <t>Att 4</t>
        </is>
      </c>
      <c r="J61" s="17" t="inlineStr">
        <is>
          <t>Sess 5</t>
        </is>
      </c>
      <c r="K61" s="17" t="inlineStr">
        <is>
          <t>Att 5</t>
        </is>
      </c>
      <c r="L61" s="17" t="inlineStr">
        <is>
          <t>Sess 6</t>
        </is>
      </c>
      <c r="M61" s="17" t="inlineStr">
        <is>
          <t>Att 6</t>
        </is>
      </c>
      <c r="N61" s="17" t="inlineStr">
        <is>
          <t>Sess 7</t>
        </is>
      </c>
      <c r="O61" s="17" t="inlineStr">
        <is>
          <t>Att 7</t>
        </is>
      </c>
      <c r="P61" s="17" t="inlineStr">
        <is>
          <t>Sess 8</t>
        </is>
      </c>
      <c r="Q61" s="17" t="inlineStr">
        <is>
          <t>Att 8</t>
        </is>
      </c>
      <c r="R61" s="17" t="inlineStr">
        <is>
          <t>Sess 9</t>
        </is>
      </c>
      <c r="S61" s="17" t="inlineStr">
        <is>
          <t>Att 9</t>
        </is>
      </c>
      <c r="T61" s="17" t="inlineStr">
        <is>
          <t>Sess 10</t>
        </is>
      </c>
      <c r="U61" s="17" t="inlineStr">
        <is>
          <t>Att 10</t>
        </is>
      </c>
      <c r="V61" s="17" t="inlineStr">
        <is>
          <t>Min Met</t>
        </is>
      </c>
      <c r="W61" s="17" t="inlineStr">
        <is>
          <t>Sess Att</t>
        </is>
      </c>
      <c r="X61" s="17" t="inlineStr">
        <is>
          <t>Absences</t>
        </is>
      </c>
      <c r="Y61" s="17" t="inlineStr">
        <is>
          <t>IEP Req</t>
        </is>
      </c>
      <c r="Z61" s="17" t="inlineStr">
        <is>
          <t>Min Remain</t>
        </is>
      </c>
      <c r="AA61" s="17" t="inlineStr">
        <is>
          <t>% Complete</t>
        </is>
      </c>
      <c r="AB61" s="17" t="inlineStr">
        <is>
          <t>Pace Needed</t>
        </is>
      </c>
      <c r="AC61" s="17" t="inlineStr">
        <is>
          <t>Projected</t>
        </is>
      </c>
    </row>
    <row r="62">
      <c r="A62" s="18" t="inlineStr">
        <is>
          <t>Raya Hightower</t>
        </is>
      </c>
      <c r="B62" s="19" t="n"/>
      <c r="C62" s="6" t="n"/>
      <c r="D62" s="19" t="n"/>
      <c r="E62" s="6" t="n"/>
      <c r="F62" s="19" t="n"/>
      <c r="G62" s="6" t="n"/>
      <c r="H62" s="19" t="n"/>
      <c r="I62" s="6" t="n"/>
      <c r="J62" s="19" t="n"/>
      <c r="K62" s="6" t="n"/>
      <c r="L62" s="19" t="n"/>
      <c r="M62" s="6" t="n"/>
      <c r="N62" s="19" t="n"/>
      <c r="O62" s="6" t="n"/>
      <c r="P62" s="19" t="n"/>
      <c r="Q62" s="6" t="n"/>
      <c r="R62" s="19" t="n"/>
      <c r="S62" s="6" t="n"/>
      <c r="T62" s="19" t="n"/>
      <c r="U62" s="6" t="n"/>
      <c r="V62" s="20">
        <f>SUM(B62,D62,F62,H62,J62,L62,N62,P62,R62,T62)</f>
        <v/>
      </c>
      <c r="W62" s="19">
        <f>COUNTIF(C62,"P")+COUNTIF(E62,"P")+COUNTIF(G62,"P")+COUNTIF(I62,"P")+COUNTIF(K62,"P")+COUNTIF(M62,"P")+COUNTIF(O62,"P")+COUNTIF(Q62,"P")+COUNTIF(S62,"P")+COUNTIF(U62,"P")</f>
        <v/>
      </c>
      <c r="X62" s="19">
        <f>COUNTIF(C62,"A")+COUNTIF(E62,"A")+COUNTIF(G62,"A")+COUNTIF(I62,"A")+COUNTIF(K62,"A")+COUNTIF(M62,"A")+COUNTIF(O62,"A")+COUNTIF(Q62,"A")+COUNTIF(S62,"A")+COUNTIF(U62,"A")</f>
        <v/>
      </c>
      <c r="Y62" s="19" t="n"/>
      <c r="Z62" s="19">
        <f>IF(Y62="","",Y62-V62)</f>
        <v/>
      </c>
      <c r="AA62" s="21">
        <f>IF(OR(Y62="",Y62=0),"",V62/Y62)</f>
        <v/>
      </c>
      <c r="AB62" s="22">
        <f>IF(OR(Y62="",Y62=0),"",IF((10-W62-X62)&lt;=0,"N/A",Z62/(10-W62-X62)))</f>
        <v/>
      </c>
      <c r="AC62" s="19">
        <f>IF(W62=0,"",ROUND((V62/W62)*10,0))</f>
        <v/>
      </c>
    </row>
    <row r="63">
      <c r="A63" s="18" t="inlineStr">
        <is>
          <t>Anu Vijay Anand</t>
        </is>
      </c>
      <c r="B63" s="19" t="n"/>
      <c r="C63" s="6" t="n"/>
      <c r="D63" s="19" t="n"/>
      <c r="E63" s="6" t="n"/>
      <c r="F63" s="19" t="n"/>
      <c r="G63" s="6" t="n"/>
      <c r="H63" s="19" t="n"/>
      <c r="I63" s="6" t="n"/>
      <c r="J63" s="19" t="n"/>
      <c r="K63" s="6" t="n"/>
      <c r="L63" s="19" t="n"/>
      <c r="M63" s="6" t="n"/>
      <c r="N63" s="19" t="n"/>
      <c r="O63" s="6" t="n"/>
      <c r="P63" s="19" t="n"/>
      <c r="Q63" s="6" t="n"/>
      <c r="R63" s="19" t="n"/>
      <c r="S63" s="6" t="n"/>
      <c r="T63" s="19" t="n"/>
      <c r="U63" s="6" t="n"/>
      <c r="V63" s="20">
        <f>SUM(B63,D63,F63,H63,J63,L63,N63,P63,R63,T63)</f>
        <v/>
      </c>
      <c r="W63" s="19">
        <f>COUNTIF(C63,"P")+COUNTIF(E63,"P")+COUNTIF(G63,"P")+COUNTIF(I63,"P")+COUNTIF(K63,"P")+COUNTIF(M63,"P")+COUNTIF(O63,"P")+COUNTIF(Q63,"P")+COUNTIF(S63,"P")+COUNTIF(U63,"P")</f>
        <v/>
      </c>
      <c r="X63" s="19">
        <f>COUNTIF(C63,"A")+COUNTIF(E63,"A")+COUNTIF(G63,"A")+COUNTIF(I63,"A")+COUNTIF(K63,"A")+COUNTIF(M63,"A")+COUNTIF(O63,"A")+COUNTIF(Q63,"A")+COUNTIF(S63,"A")+COUNTIF(U63,"A")</f>
        <v/>
      </c>
      <c r="Y63" s="19" t="n"/>
      <c r="Z63" s="19">
        <f>IF(Y63="","",Y63-V63)</f>
        <v/>
      </c>
      <c r="AA63" s="21">
        <f>IF(OR(Y63="",Y63=0),"",V63/Y63)</f>
        <v/>
      </c>
      <c r="AB63" s="22">
        <f>IF(OR(Y63="",Y63=0),"",IF((10-W63-X63)&lt;=0,"N/A",Z63/(10-W63-X63)))</f>
        <v/>
      </c>
      <c r="AC63" s="19">
        <f>IF(W63=0,"",ROUND((V63/W63)*10,0))</f>
        <v/>
      </c>
    </row>
    <row r="64">
      <c r="A64" s="18" t="inlineStr">
        <is>
          <t>Aadhya Gone</t>
        </is>
      </c>
      <c r="B64" s="19" t="n"/>
      <c r="C64" s="6" t="n"/>
      <c r="D64" s="19" t="n"/>
      <c r="E64" s="6" t="n"/>
      <c r="F64" s="19" t="n"/>
      <c r="G64" s="6" t="n"/>
      <c r="H64" s="19" t="n"/>
      <c r="I64" s="6" t="n"/>
      <c r="J64" s="19" t="n"/>
      <c r="K64" s="6" t="n"/>
      <c r="L64" s="19" t="n"/>
      <c r="M64" s="6" t="n"/>
      <c r="N64" s="19" t="n"/>
      <c r="O64" s="6" t="n"/>
      <c r="P64" s="19" t="n"/>
      <c r="Q64" s="6" t="n"/>
      <c r="R64" s="19" t="n"/>
      <c r="S64" s="6" t="n"/>
      <c r="T64" s="19" t="n"/>
      <c r="U64" s="6" t="n"/>
      <c r="V64" s="20">
        <f>SUM(B64,D64,F64,H64,J64,L64,N64,P64,R64,T64)</f>
        <v/>
      </c>
      <c r="W64" s="19">
        <f>COUNTIF(C64,"P")+COUNTIF(E64,"P")+COUNTIF(G64,"P")+COUNTIF(I64,"P")+COUNTIF(K64,"P")+COUNTIF(M64,"P")+COUNTIF(O64,"P")+COUNTIF(Q64,"P")+COUNTIF(S64,"P")+COUNTIF(U64,"P")</f>
        <v/>
      </c>
      <c r="X64" s="19">
        <f>COUNTIF(C64,"A")+COUNTIF(E64,"A")+COUNTIF(G64,"A")+COUNTIF(I64,"A")+COUNTIF(K64,"A")+COUNTIF(M64,"A")+COUNTIF(O64,"A")+COUNTIF(Q64,"A")+COUNTIF(S64,"A")+COUNTIF(U64,"A")</f>
        <v/>
      </c>
      <c r="Y64" s="19" t="n"/>
      <c r="Z64" s="19">
        <f>IF(Y64="","",Y64-V64)</f>
        <v/>
      </c>
      <c r="AA64" s="21">
        <f>IF(OR(Y64="",Y64=0),"",V64/Y64)</f>
        <v/>
      </c>
      <c r="AB64" s="22">
        <f>IF(OR(Y64="",Y64=0),"",IF((10-W64-X64)&lt;=0,"N/A",Z64/(10-W64-X64)))</f>
        <v/>
      </c>
      <c r="AC64" s="19">
        <f>IF(W64=0,"",ROUND((V64/W64)*10,0))</f>
        <v/>
      </c>
    </row>
    <row r="65">
      <c r="A65" s="18" t="inlineStr">
        <is>
          <t>Sumeyah Khan</t>
        </is>
      </c>
      <c r="B65" s="19" t="n"/>
      <c r="C65" s="6" t="n"/>
      <c r="D65" s="19" t="n"/>
      <c r="E65" s="6" t="n"/>
      <c r="F65" s="19" t="n"/>
      <c r="G65" s="6" t="n"/>
      <c r="H65" s="19" t="n"/>
      <c r="I65" s="6" t="n"/>
      <c r="J65" s="19" t="n"/>
      <c r="K65" s="6" t="n"/>
      <c r="L65" s="19" t="n"/>
      <c r="M65" s="6" t="n"/>
      <c r="N65" s="19" t="n"/>
      <c r="O65" s="6" t="n"/>
      <c r="P65" s="19" t="n"/>
      <c r="Q65" s="6" t="n"/>
      <c r="R65" s="19" t="n"/>
      <c r="S65" s="6" t="n"/>
      <c r="T65" s="19" t="n"/>
      <c r="U65" s="6" t="n"/>
      <c r="V65" s="20">
        <f>SUM(B65,D65,F65,H65,J65,L65,N65,P65,R65,T65)</f>
        <v/>
      </c>
      <c r="W65" s="19">
        <f>COUNTIF(C65,"P")+COUNTIF(E65,"P")+COUNTIF(G65,"P")+COUNTIF(I65,"P")+COUNTIF(K65,"P")+COUNTIF(M65,"P")+COUNTIF(O65,"P")+COUNTIF(Q65,"P")+COUNTIF(S65,"P")+COUNTIF(U65,"P")</f>
        <v/>
      </c>
      <c r="X65" s="19">
        <f>COUNTIF(C65,"A")+COUNTIF(E65,"A")+COUNTIF(G65,"A")+COUNTIF(I65,"A")+COUNTIF(K65,"A")+COUNTIF(M65,"A")+COUNTIF(O65,"A")+COUNTIF(Q65,"A")+COUNTIF(S65,"A")+COUNTIF(U65,"A")</f>
        <v/>
      </c>
      <c r="Y65" s="19" t="n"/>
      <c r="Z65" s="19">
        <f>IF(Y65="","",Y65-V65)</f>
        <v/>
      </c>
      <c r="AA65" s="21">
        <f>IF(OR(Y65="",Y65=0),"",V65/Y65)</f>
        <v/>
      </c>
      <c r="AB65" s="22">
        <f>IF(OR(Y65="",Y65=0),"",IF((10-W65-X65)&lt;=0,"N/A",Z65/(10-W65-X65)))</f>
        <v/>
      </c>
      <c r="AC65" s="19">
        <f>IF(W65=0,"",ROUND((V65/W65)*10,0))</f>
        <v/>
      </c>
    </row>
    <row r="66">
      <c r="A66" s="18" t="inlineStr">
        <is>
          <t>Maria Mujeeb</t>
        </is>
      </c>
      <c r="B66" s="19" t="n"/>
      <c r="C66" s="6" t="n"/>
      <c r="D66" s="19" t="n"/>
      <c r="E66" s="6" t="n"/>
      <c r="F66" s="19" t="n"/>
      <c r="G66" s="6" t="n"/>
      <c r="H66" s="19" t="n"/>
      <c r="I66" s="6" t="n"/>
      <c r="J66" s="19" t="n"/>
      <c r="K66" s="6" t="n"/>
      <c r="L66" s="19" t="n"/>
      <c r="M66" s="6" t="n"/>
      <c r="N66" s="19" t="n"/>
      <c r="O66" s="6" t="n"/>
      <c r="P66" s="19" t="n"/>
      <c r="Q66" s="6" t="n"/>
      <c r="R66" s="19" t="n"/>
      <c r="S66" s="6" t="n"/>
      <c r="T66" s="19" t="n"/>
      <c r="U66" s="6" t="n"/>
      <c r="V66" s="20">
        <f>SUM(B66,D66,F66,H66,J66,L66,N66,P66,R66,T66)</f>
        <v/>
      </c>
      <c r="W66" s="19">
        <f>COUNTIF(C66,"P")+COUNTIF(E66,"P")+COUNTIF(G66,"P")+COUNTIF(I66,"P")+COUNTIF(K66,"P")+COUNTIF(M66,"P")+COUNTIF(O66,"P")+COUNTIF(Q66,"P")+COUNTIF(S66,"P")+COUNTIF(U66,"P")</f>
        <v/>
      </c>
      <c r="X66" s="19">
        <f>COUNTIF(C66,"A")+COUNTIF(E66,"A")+COUNTIF(G66,"A")+COUNTIF(I66,"A")+COUNTIF(K66,"A")+COUNTIF(M66,"A")+COUNTIF(O66,"A")+COUNTIF(Q66,"A")+COUNTIF(S66,"A")+COUNTIF(U66,"A")</f>
        <v/>
      </c>
      <c r="Y66" s="19" t="n"/>
      <c r="Z66" s="19">
        <f>IF(Y66="","",Y66-V66)</f>
        <v/>
      </c>
      <c r="AA66" s="21">
        <f>IF(OR(Y66="",Y66=0),"",V66/Y66)</f>
        <v/>
      </c>
      <c r="AB66" s="22">
        <f>IF(OR(Y66="",Y66=0),"",IF((10-W66-X66)&lt;=0,"N/A",Z66/(10-W66-X66)))</f>
        <v/>
      </c>
      <c r="AC66" s="19">
        <f>IF(W66=0,"",ROUND((V66/W66)*10,0))</f>
        <v/>
      </c>
    </row>
    <row r="67">
      <c r="A67" s="18" t="inlineStr">
        <is>
          <t>Jace Ratliff</t>
        </is>
      </c>
      <c r="B67" s="19" t="n"/>
      <c r="C67" s="6" t="n"/>
      <c r="D67" s="19" t="n"/>
      <c r="E67" s="6" t="n"/>
      <c r="F67" s="19" t="n"/>
      <c r="G67" s="6" t="n"/>
      <c r="H67" s="19" t="n"/>
      <c r="I67" s="6" t="n"/>
      <c r="J67" s="19" t="n"/>
      <c r="K67" s="6" t="n"/>
      <c r="L67" s="19" t="n"/>
      <c r="M67" s="6" t="n"/>
      <c r="N67" s="19" t="n"/>
      <c r="O67" s="6" t="n"/>
      <c r="P67" s="19" t="n"/>
      <c r="Q67" s="6" t="n"/>
      <c r="R67" s="19" t="n"/>
      <c r="S67" s="6" t="n"/>
      <c r="T67" s="19" t="n"/>
      <c r="U67" s="6" t="n"/>
      <c r="V67" s="20">
        <f>SUM(B67,D67,F67,H67,J67,L67,N67,P67,R67,T67)</f>
        <v/>
      </c>
      <c r="W67" s="19">
        <f>COUNTIF(C67,"P")+COUNTIF(E67,"P")+COUNTIF(G67,"P")+COUNTIF(I67,"P")+COUNTIF(K67,"P")+COUNTIF(M67,"P")+COUNTIF(O67,"P")+COUNTIF(Q67,"P")+COUNTIF(S67,"P")+COUNTIF(U67,"P")</f>
        <v/>
      </c>
      <c r="X67" s="19">
        <f>COUNTIF(C67,"A")+COUNTIF(E67,"A")+COUNTIF(G67,"A")+COUNTIF(I67,"A")+COUNTIF(K67,"A")+COUNTIF(M67,"A")+COUNTIF(O67,"A")+COUNTIF(Q67,"A")+COUNTIF(S67,"A")+COUNTIF(U67,"A")</f>
        <v/>
      </c>
      <c r="Y67" s="19" t="n"/>
      <c r="Z67" s="19">
        <f>IF(Y67="","",Y67-V67)</f>
        <v/>
      </c>
      <c r="AA67" s="21">
        <f>IF(OR(Y67="",Y67=0),"",V67/Y67)</f>
        <v/>
      </c>
      <c r="AB67" s="22">
        <f>IF(OR(Y67="",Y67=0),"",IF((10-W67-X67)&lt;=0,"N/A",Z67/(10-W67-X67)))</f>
        <v/>
      </c>
      <c r="AC67" s="19">
        <f>IF(W67=0,"",ROUND((V67/W67)*10,0))</f>
        <v/>
      </c>
    </row>
    <row r="68">
      <c r="A68" s="18" t="inlineStr">
        <is>
          <t>Evan Allen</t>
        </is>
      </c>
      <c r="B68" s="19" t="n"/>
      <c r="C68" s="6" t="n"/>
      <c r="D68" s="19" t="n"/>
      <c r="E68" s="6" t="n"/>
      <c r="F68" s="19" t="n"/>
      <c r="G68" s="6" t="n"/>
      <c r="H68" s="19" t="n"/>
      <c r="I68" s="6" t="n"/>
      <c r="J68" s="19" t="n"/>
      <c r="K68" s="6" t="n"/>
      <c r="L68" s="19" t="n"/>
      <c r="M68" s="6" t="n"/>
      <c r="N68" s="19" t="n"/>
      <c r="O68" s="6" t="n"/>
      <c r="P68" s="19" t="n"/>
      <c r="Q68" s="6" t="n"/>
      <c r="R68" s="19" t="n"/>
      <c r="S68" s="6" t="n"/>
      <c r="T68" s="19" t="n"/>
      <c r="U68" s="6" t="n"/>
      <c r="V68" s="20">
        <f>SUM(B68,D68,F68,H68,J68,L68,N68,P68,R68,T68)</f>
        <v/>
      </c>
      <c r="W68" s="19">
        <f>COUNTIF(C68,"P")+COUNTIF(E68,"P")+COUNTIF(G68,"P")+COUNTIF(I68,"P")+COUNTIF(K68,"P")+COUNTIF(M68,"P")+COUNTIF(O68,"P")+COUNTIF(Q68,"P")+COUNTIF(S68,"P")+COUNTIF(U68,"P")</f>
        <v/>
      </c>
      <c r="X68" s="19">
        <f>COUNTIF(C68,"A")+COUNTIF(E68,"A")+COUNTIF(G68,"A")+COUNTIF(I68,"A")+COUNTIF(K68,"A")+COUNTIF(M68,"A")+COUNTIF(O68,"A")+COUNTIF(Q68,"A")+COUNTIF(S68,"A")+COUNTIF(U68,"A")</f>
        <v/>
      </c>
      <c r="Y68" s="19" t="n"/>
      <c r="Z68" s="19">
        <f>IF(Y68="","",Y68-V68)</f>
        <v/>
      </c>
      <c r="AA68" s="21">
        <f>IF(OR(Y68="",Y68=0),"",V68/Y68)</f>
        <v/>
      </c>
      <c r="AB68" s="22">
        <f>IF(OR(Y68="",Y68=0),"",IF((10-W68-X68)&lt;=0,"N/A",Z68/(10-W68-X68)))</f>
        <v/>
      </c>
      <c r="AC68" s="19">
        <f>IF(W68=0,"",ROUND((V68/W68)*10,0))</f>
        <v/>
      </c>
    </row>
    <row r="69">
      <c r="A69" s="18" t="inlineStr">
        <is>
          <t>Sai Neelagiri</t>
        </is>
      </c>
      <c r="B69" s="19" t="n"/>
      <c r="C69" s="6" t="n"/>
      <c r="D69" s="19" t="n"/>
      <c r="E69" s="6" t="n"/>
      <c r="F69" s="19" t="n"/>
      <c r="G69" s="6" t="n"/>
      <c r="H69" s="19" t="n"/>
      <c r="I69" s="6" t="n"/>
      <c r="J69" s="19" t="n"/>
      <c r="K69" s="6" t="n"/>
      <c r="L69" s="19" t="n"/>
      <c r="M69" s="6" t="n"/>
      <c r="N69" s="19" t="n"/>
      <c r="O69" s="6" t="n"/>
      <c r="P69" s="19" t="n"/>
      <c r="Q69" s="6" t="n"/>
      <c r="R69" s="19" t="n"/>
      <c r="S69" s="6" t="n"/>
      <c r="T69" s="19" t="n"/>
      <c r="U69" s="6" t="n"/>
      <c r="V69" s="20">
        <f>SUM(B69,D69,F69,H69,J69,L69,N69,P69,R69,T69)</f>
        <v/>
      </c>
      <c r="W69" s="19">
        <f>COUNTIF(C69,"P")+COUNTIF(E69,"P")+COUNTIF(G69,"P")+COUNTIF(I69,"P")+COUNTIF(K69,"P")+COUNTIF(M69,"P")+COUNTIF(O69,"P")+COUNTIF(Q69,"P")+COUNTIF(S69,"P")+COUNTIF(U69,"P")</f>
        <v/>
      </c>
      <c r="X69" s="19">
        <f>COUNTIF(C69,"A")+COUNTIF(E69,"A")+COUNTIF(G69,"A")+COUNTIF(I69,"A")+COUNTIF(K69,"A")+COUNTIF(M69,"A")+COUNTIF(O69,"A")+COUNTIF(Q69,"A")+COUNTIF(S69,"A")+COUNTIF(U69,"A")</f>
        <v/>
      </c>
      <c r="Y69" s="19" t="n"/>
      <c r="Z69" s="19">
        <f>IF(Y69="","",Y69-V69)</f>
        <v/>
      </c>
      <c r="AA69" s="21">
        <f>IF(OR(Y69="",Y69=0),"",V69/Y69)</f>
        <v/>
      </c>
      <c r="AB69" s="22">
        <f>IF(OR(Y69="",Y69=0),"",IF((10-W69-X69)&lt;=0,"N/A",Z69/(10-W69-X69)))</f>
        <v/>
      </c>
      <c r="AC69" s="19">
        <f>IF(W69=0,"",ROUND((V69/W69)*10,0))</f>
        <v/>
      </c>
    </row>
    <row r="70">
      <c r="A70" s="18" t="inlineStr">
        <is>
          <t>Fletcher Meese</t>
        </is>
      </c>
      <c r="B70" s="19" t="n"/>
      <c r="C70" s="6" t="n"/>
      <c r="D70" s="19" t="n"/>
      <c r="E70" s="6" t="n"/>
      <c r="F70" s="19" t="n"/>
      <c r="G70" s="6" t="n"/>
      <c r="H70" s="19" t="n"/>
      <c r="I70" s="6" t="n"/>
      <c r="J70" s="19" t="n"/>
      <c r="K70" s="6" t="n"/>
      <c r="L70" s="19" t="n"/>
      <c r="M70" s="6" t="n"/>
      <c r="N70" s="19" t="n"/>
      <c r="O70" s="6" t="n"/>
      <c r="P70" s="19" t="n"/>
      <c r="Q70" s="6" t="n"/>
      <c r="R70" s="19" t="n"/>
      <c r="S70" s="6" t="n"/>
      <c r="T70" s="19" t="n"/>
      <c r="U70" s="6" t="n"/>
      <c r="V70" s="20">
        <f>SUM(B70,D70,F70,H70,J70,L70,N70,P70,R70,T70)</f>
        <v/>
      </c>
      <c r="W70" s="19">
        <f>COUNTIF(C70,"P")+COUNTIF(E70,"P")+COUNTIF(G70,"P")+COUNTIF(I70,"P")+COUNTIF(K70,"P")+COUNTIF(M70,"P")+COUNTIF(O70,"P")+COUNTIF(Q70,"P")+COUNTIF(S70,"P")+COUNTIF(U70,"P")</f>
        <v/>
      </c>
      <c r="X70" s="19">
        <f>COUNTIF(C70,"A")+COUNTIF(E70,"A")+COUNTIF(G70,"A")+COUNTIF(I70,"A")+COUNTIF(K70,"A")+COUNTIF(M70,"A")+COUNTIF(O70,"A")+COUNTIF(Q70,"A")+COUNTIF(S70,"A")+COUNTIF(U70,"A")</f>
        <v/>
      </c>
      <c r="Y70" s="19" t="n"/>
      <c r="Z70" s="19">
        <f>IF(Y70="","",Y70-V70)</f>
        <v/>
      </c>
      <c r="AA70" s="21">
        <f>IF(OR(Y70="",Y70=0),"",V70/Y70)</f>
        <v/>
      </c>
      <c r="AB70" s="22">
        <f>IF(OR(Y70="",Y70=0),"",IF((10-W70-X70)&lt;=0,"N/A",Z70/(10-W70-X70)))</f>
        <v/>
      </c>
      <c r="AC70" s="19">
        <f>IF(W70=0,"",ROUND((V70/W70)*10,0))</f>
        <v/>
      </c>
    </row>
    <row r="71">
      <c r="A71" s="18" t="inlineStr">
        <is>
          <t>Elijah Aldaco</t>
        </is>
      </c>
      <c r="B71" s="19" t="n"/>
      <c r="C71" s="6" t="n"/>
      <c r="D71" s="19" t="n"/>
      <c r="E71" s="6" t="n"/>
      <c r="F71" s="19" t="n"/>
      <c r="G71" s="6" t="n"/>
      <c r="H71" s="19" t="n"/>
      <c r="I71" s="6" t="n"/>
      <c r="J71" s="19" t="n"/>
      <c r="K71" s="6" t="n"/>
      <c r="L71" s="19" t="n"/>
      <c r="M71" s="6" t="n"/>
      <c r="N71" s="19" t="n"/>
      <c r="O71" s="6" t="n"/>
      <c r="P71" s="19" t="n"/>
      <c r="Q71" s="6" t="n"/>
      <c r="R71" s="19" t="n"/>
      <c r="S71" s="6" t="n"/>
      <c r="T71" s="19" t="n"/>
      <c r="U71" s="6" t="n"/>
      <c r="V71" s="20">
        <f>SUM(B71,D71,F71,H71,J71,L71,N71,P71,R71,T71)</f>
        <v/>
      </c>
      <c r="W71" s="19">
        <f>COUNTIF(C71,"P")+COUNTIF(E71,"P")+COUNTIF(G71,"P")+COUNTIF(I71,"P")+COUNTIF(K71,"P")+COUNTIF(M71,"P")+COUNTIF(O71,"P")+COUNTIF(Q71,"P")+COUNTIF(S71,"P")+COUNTIF(U71,"P")</f>
        <v/>
      </c>
      <c r="X71" s="19">
        <f>COUNTIF(C71,"A")+COUNTIF(E71,"A")+COUNTIF(G71,"A")+COUNTIF(I71,"A")+COUNTIF(K71,"A")+COUNTIF(M71,"A")+COUNTIF(O71,"A")+COUNTIF(Q71,"A")+COUNTIF(S71,"A")+COUNTIF(U71,"A")</f>
        <v/>
      </c>
      <c r="Y71" s="19" t="n"/>
      <c r="Z71" s="19">
        <f>IF(Y71="","",Y71-V71)</f>
        <v/>
      </c>
      <c r="AA71" s="21">
        <f>IF(OR(Y71="",Y71=0),"",V71/Y71)</f>
        <v/>
      </c>
      <c r="AB71" s="22">
        <f>IF(OR(Y71="",Y71=0),"",IF((10-W71-X71)&lt;=0,"N/A",Z71/(10-W71-X71)))</f>
        <v/>
      </c>
      <c r="AC71" s="19">
        <f>IF(W71=0,"",ROUND((V71/W71)*10,0))</f>
        <v/>
      </c>
    </row>
    <row r="72">
      <c r="A72" s="18" t="inlineStr">
        <is>
          <t>Cain Gutierrez</t>
        </is>
      </c>
      <c r="B72" s="19" t="n"/>
      <c r="C72" s="6" t="n"/>
      <c r="D72" s="19" t="n"/>
      <c r="E72" s="6" t="n"/>
      <c r="F72" s="19" t="n"/>
      <c r="G72" s="6" t="n"/>
      <c r="H72" s="19" t="n"/>
      <c r="I72" s="6" t="n"/>
      <c r="J72" s="19" t="n"/>
      <c r="K72" s="6" t="n"/>
      <c r="L72" s="19" t="n"/>
      <c r="M72" s="6" t="n"/>
      <c r="N72" s="19" t="n"/>
      <c r="O72" s="6" t="n"/>
      <c r="P72" s="19" t="n"/>
      <c r="Q72" s="6" t="n"/>
      <c r="R72" s="19" t="n"/>
      <c r="S72" s="6" t="n"/>
      <c r="T72" s="19" t="n"/>
      <c r="U72" s="6" t="n"/>
      <c r="V72" s="20">
        <f>SUM(B72,D72,F72,H72,J72,L72,N72,P72,R72,T72)</f>
        <v/>
      </c>
      <c r="W72" s="19">
        <f>COUNTIF(C72,"P")+COUNTIF(E72,"P")+COUNTIF(G72,"P")+COUNTIF(I72,"P")+COUNTIF(K72,"P")+COUNTIF(M72,"P")+COUNTIF(O72,"P")+COUNTIF(Q72,"P")+COUNTIF(S72,"P")+COUNTIF(U72,"P")</f>
        <v/>
      </c>
      <c r="X72" s="19">
        <f>COUNTIF(C72,"A")+COUNTIF(E72,"A")+COUNTIF(G72,"A")+COUNTIF(I72,"A")+COUNTIF(K72,"A")+COUNTIF(M72,"A")+COUNTIF(O72,"A")+COUNTIF(Q72,"A")+COUNTIF(S72,"A")+COUNTIF(U72,"A")</f>
        <v/>
      </c>
      <c r="Y72" s="19" t="n"/>
      <c r="Z72" s="19">
        <f>IF(Y72="","",Y72-V72)</f>
        <v/>
      </c>
      <c r="AA72" s="21">
        <f>IF(OR(Y72="",Y72=0),"",V72/Y72)</f>
        <v/>
      </c>
      <c r="AB72" s="22">
        <f>IF(OR(Y72="",Y72=0),"",IF((10-W72-X72)&lt;=0,"N/A",Z72/(10-W72-X72)))</f>
        <v/>
      </c>
      <c r="AC72" s="19">
        <f>IF(W72=0,"",ROUND((V72/W72)*10,0))</f>
        <v/>
      </c>
    </row>
    <row r="73">
      <c r="A73" s="18" t="inlineStr">
        <is>
          <t>Grayson Barnhart</t>
        </is>
      </c>
      <c r="B73" s="19" t="n"/>
      <c r="C73" s="6" t="n"/>
      <c r="D73" s="19" t="n"/>
      <c r="E73" s="6" t="n"/>
      <c r="F73" s="19" t="n"/>
      <c r="G73" s="6" t="n"/>
      <c r="H73" s="19" t="n"/>
      <c r="I73" s="6" t="n"/>
      <c r="J73" s="19" t="n"/>
      <c r="K73" s="6" t="n"/>
      <c r="L73" s="19" t="n"/>
      <c r="M73" s="6" t="n"/>
      <c r="N73" s="19" t="n"/>
      <c r="O73" s="6" t="n"/>
      <c r="P73" s="19" t="n"/>
      <c r="Q73" s="6" t="n"/>
      <c r="R73" s="19" t="n"/>
      <c r="S73" s="6" t="n"/>
      <c r="T73" s="19" t="n"/>
      <c r="U73" s="6" t="n"/>
      <c r="V73" s="20">
        <f>SUM(B73,D73,F73,H73,J73,L73,N73,P73,R73,T73)</f>
        <v/>
      </c>
      <c r="W73" s="19">
        <f>COUNTIF(C73,"P")+COUNTIF(E73,"P")+COUNTIF(G73,"P")+COUNTIF(I73,"P")+COUNTIF(K73,"P")+COUNTIF(M73,"P")+COUNTIF(O73,"P")+COUNTIF(Q73,"P")+COUNTIF(S73,"P")+COUNTIF(U73,"P")</f>
        <v/>
      </c>
      <c r="X73" s="19">
        <f>COUNTIF(C73,"A")+COUNTIF(E73,"A")+COUNTIF(G73,"A")+COUNTIF(I73,"A")+COUNTIF(K73,"A")+COUNTIF(M73,"A")+COUNTIF(O73,"A")+COUNTIF(Q73,"A")+COUNTIF(S73,"A")+COUNTIF(U73,"A")</f>
        <v/>
      </c>
      <c r="Y73" s="19" t="n"/>
      <c r="Z73" s="19">
        <f>IF(Y73="","",Y73-V73)</f>
        <v/>
      </c>
      <c r="AA73" s="21">
        <f>IF(OR(Y73="",Y73=0),"",V73/Y73)</f>
        <v/>
      </c>
      <c r="AB73" s="22">
        <f>IF(OR(Y73="",Y73=0),"",IF((10-W73-X73)&lt;=0,"N/A",Z73/(10-W73-X73)))</f>
        <v/>
      </c>
      <c r="AC73" s="19">
        <f>IF(W73=0,"",ROUND((V73/W73)*10,0))</f>
        <v/>
      </c>
    </row>
    <row r="74">
      <c r="A74" s="18" t="inlineStr">
        <is>
          <t>Abel Abraham</t>
        </is>
      </c>
      <c r="B74" s="19" t="n"/>
      <c r="C74" s="6" t="n"/>
      <c r="D74" s="19" t="n"/>
      <c r="E74" s="6" t="n"/>
      <c r="F74" s="19" t="n"/>
      <c r="G74" s="6" t="n"/>
      <c r="H74" s="19" t="n"/>
      <c r="I74" s="6" t="n"/>
      <c r="J74" s="19" t="n"/>
      <c r="K74" s="6" t="n"/>
      <c r="L74" s="19" t="n"/>
      <c r="M74" s="6" t="n"/>
      <c r="N74" s="19" t="n"/>
      <c r="O74" s="6" t="n"/>
      <c r="P74" s="19" t="n"/>
      <c r="Q74" s="6" t="n"/>
      <c r="R74" s="19" t="n"/>
      <c r="S74" s="6" t="n"/>
      <c r="T74" s="19" t="n"/>
      <c r="U74" s="6" t="n"/>
      <c r="V74" s="20">
        <f>SUM(B74,D74,F74,H74,J74,L74,N74,P74,R74,T74)</f>
        <v/>
      </c>
      <c r="W74" s="19">
        <f>COUNTIF(C74,"P")+COUNTIF(E74,"P")+COUNTIF(G74,"P")+COUNTIF(I74,"P")+COUNTIF(K74,"P")+COUNTIF(M74,"P")+COUNTIF(O74,"P")+COUNTIF(Q74,"P")+COUNTIF(S74,"P")+COUNTIF(U74,"P")</f>
        <v/>
      </c>
      <c r="X74" s="19">
        <f>COUNTIF(C74,"A")+COUNTIF(E74,"A")+COUNTIF(G74,"A")+COUNTIF(I74,"A")+COUNTIF(K74,"A")+COUNTIF(M74,"A")+COUNTIF(O74,"A")+COUNTIF(Q74,"A")+COUNTIF(S74,"A")+COUNTIF(U74,"A")</f>
        <v/>
      </c>
      <c r="Y74" s="19" t="n"/>
      <c r="Z74" s="19">
        <f>IF(Y74="","",Y74-V74)</f>
        <v/>
      </c>
      <c r="AA74" s="21">
        <f>IF(OR(Y74="",Y74=0),"",V74/Y74)</f>
        <v/>
      </c>
      <c r="AB74" s="22">
        <f>IF(OR(Y74="",Y74=0),"",IF((10-W74-X74)&lt;=0,"N/A",Z74/(10-W74-X74)))</f>
        <v/>
      </c>
      <c r="AC74" s="19">
        <f>IF(W74=0,"",ROUND((V74/W74)*10,0))</f>
        <v/>
      </c>
    </row>
    <row r="75">
      <c r="A75" s="18" t="inlineStr">
        <is>
          <t>John Joby</t>
        </is>
      </c>
      <c r="B75" s="19" t="n"/>
      <c r="C75" s="6" t="n"/>
      <c r="D75" s="19" t="n"/>
      <c r="E75" s="6" t="n"/>
      <c r="F75" s="19" t="n"/>
      <c r="G75" s="6" t="n"/>
      <c r="H75" s="19" t="n"/>
      <c r="I75" s="6" t="n"/>
      <c r="J75" s="19" t="n"/>
      <c r="K75" s="6" t="n"/>
      <c r="L75" s="19" t="n"/>
      <c r="M75" s="6" t="n"/>
      <c r="N75" s="19" t="n"/>
      <c r="O75" s="6" t="n"/>
      <c r="P75" s="19" t="n"/>
      <c r="Q75" s="6" t="n"/>
      <c r="R75" s="19" t="n"/>
      <c r="S75" s="6" t="n"/>
      <c r="T75" s="19" t="n"/>
      <c r="U75" s="6" t="n"/>
      <c r="V75" s="20">
        <f>SUM(B75,D75,F75,H75,J75,L75,N75,P75,R75,T75)</f>
        <v/>
      </c>
      <c r="W75" s="19">
        <f>COUNTIF(C75,"P")+COUNTIF(E75,"P")+COUNTIF(G75,"P")+COUNTIF(I75,"P")+COUNTIF(K75,"P")+COUNTIF(M75,"P")+COUNTIF(O75,"P")+COUNTIF(Q75,"P")+COUNTIF(S75,"P")+COUNTIF(U75,"P")</f>
        <v/>
      </c>
      <c r="X75" s="19">
        <f>COUNTIF(C75,"A")+COUNTIF(E75,"A")+COUNTIF(G75,"A")+COUNTIF(I75,"A")+COUNTIF(K75,"A")+COUNTIF(M75,"A")+COUNTIF(O75,"A")+COUNTIF(Q75,"A")+COUNTIF(S75,"A")+COUNTIF(U75,"A")</f>
        <v/>
      </c>
      <c r="Y75" s="19" t="n"/>
      <c r="Z75" s="19">
        <f>IF(Y75="","",Y75-V75)</f>
        <v/>
      </c>
      <c r="AA75" s="21">
        <f>IF(OR(Y75="",Y75=0),"",V75/Y75)</f>
        <v/>
      </c>
      <c r="AB75" s="22">
        <f>IF(OR(Y75="",Y75=0),"",IF((10-W75-X75)&lt;=0,"N/A",Z75/(10-W75-X75)))</f>
        <v/>
      </c>
      <c r="AC75" s="19">
        <f>IF(W75=0,"",ROUND((V75/W75)*10,0))</f>
        <v/>
      </c>
    </row>
    <row r="76">
      <c r="A76" s="18" t="inlineStr">
        <is>
          <t>Jason Bean</t>
        </is>
      </c>
      <c r="B76" s="19" t="n"/>
      <c r="C76" s="6" t="n"/>
      <c r="D76" s="19" t="n"/>
      <c r="E76" s="6" t="n"/>
      <c r="F76" s="19" t="n"/>
      <c r="G76" s="6" t="n"/>
      <c r="H76" s="19" t="n"/>
      <c r="I76" s="6" t="n"/>
      <c r="J76" s="19" t="n"/>
      <c r="K76" s="6" t="n"/>
      <c r="L76" s="19" t="n"/>
      <c r="M76" s="6" t="n"/>
      <c r="N76" s="19" t="n"/>
      <c r="O76" s="6" t="n"/>
      <c r="P76" s="19" t="n"/>
      <c r="Q76" s="6" t="n"/>
      <c r="R76" s="19" t="n"/>
      <c r="S76" s="6" t="n"/>
      <c r="T76" s="19" t="n"/>
      <c r="U76" s="6" t="n"/>
      <c r="V76" s="20">
        <f>SUM(B76,D76,F76,H76,J76,L76,N76,P76,R76,T76)</f>
        <v/>
      </c>
      <c r="W76" s="19">
        <f>COUNTIF(C76,"P")+COUNTIF(E76,"P")+COUNTIF(G76,"P")+COUNTIF(I76,"P")+COUNTIF(K76,"P")+COUNTIF(M76,"P")+COUNTIF(O76,"P")+COUNTIF(Q76,"P")+COUNTIF(S76,"P")+COUNTIF(U76,"P")</f>
        <v/>
      </c>
      <c r="X76" s="19">
        <f>COUNTIF(C76,"A")+COUNTIF(E76,"A")+COUNTIF(G76,"A")+COUNTIF(I76,"A")+COUNTIF(K76,"A")+COUNTIF(M76,"A")+COUNTIF(O76,"A")+COUNTIF(Q76,"A")+COUNTIF(S76,"A")+COUNTIF(U76,"A")</f>
        <v/>
      </c>
      <c r="Y76" s="19" t="n"/>
      <c r="Z76" s="19">
        <f>IF(Y76="","",Y76-V76)</f>
        <v/>
      </c>
      <c r="AA76" s="21">
        <f>IF(OR(Y76="",Y76=0),"",V76/Y76)</f>
        <v/>
      </c>
      <c r="AB76" s="22">
        <f>IF(OR(Y76="",Y76=0),"",IF((10-W76-X76)&lt;=0,"N/A",Z76/(10-W76-X76)))</f>
        <v/>
      </c>
      <c r="AC76" s="19">
        <f>IF(W76=0,"",ROUND((V76/W76)*10,0))</f>
        <v/>
      </c>
    </row>
  </sheetData>
  <mergeCells count="5">
    <mergeCell ref="A41:AC41"/>
    <mergeCell ref="A1:AC1"/>
    <mergeCell ref="A22:AC22"/>
    <mergeCell ref="A3:AC3"/>
    <mergeCell ref="A60:AC60"/>
  </mergeCells>
  <conditionalFormatting sqref="AA5:AA19">
    <cfRule type="cellIs" priority="1" operator="greaterThanOrEqual" dxfId="0">
      <formula>1</formula>
    </cfRule>
    <cfRule type="cellIs" priority="2" operator="between" dxfId="1">
      <formula>0.5</formula>
      <formula>0.9999</formula>
    </cfRule>
    <cfRule type="cellIs" priority="3" operator="lessThan" dxfId="2">
      <formula>0.5</formula>
    </cfRule>
  </conditionalFormatting>
  <conditionalFormatting sqref="V5:V19">
    <cfRule type="expression" priority="4" dxfId="0">
      <formula>AND(V5&gt;=Y5,Y5&lt;&gt;"")</formula>
    </cfRule>
    <cfRule type="expression" priority="5" dxfId="2">
      <formula>AND(V5&lt;Y5,Y5&lt;&gt;"")</formula>
    </cfRule>
  </conditionalFormatting>
  <conditionalFormatting sqref="AB5:AB19">
    <cfRule type="expression" priority="6" dxfId="2">
      <formula>AND(ISNUMBER(AB5),W5&gt;0,AB5&gt;2*(V5/W5))</formula>
    </cfRule>
  </conditionalFormatting>
  <conditionalFormatting sqref="A5:A19">
    <cfRule type="expression" priority="7" dxfId="2">
      <formula>OR(AND(C5="A",E5="A"),AND(E5="A",G5="A"),AND(G5="A",I5="A"),AND(I5="A",K5="A"),AND(K5="A",M5="A"),AND(M5="A",O5="A"),AND(O5="A",Q5="A"),AND(Q5="A",S5="A"),AND(S5="A",U5="A"))</formula>
    </cfRule>
  </conditionalFormatting>
  <conditionalFormatting sqref="AA24:AA38">
    <cfRule type="cellIs" priority="8" operator="greaterThanOrEqual" dxfId="0">
      <formula>1</formula>
    </cfRule>
    <cfRule type="cellIs" priority="9" operator="between" dxfId="1">
      <formula>0.5</formula>
      <formula>0.9999</formula>
    </cfRule>
    <cfRule type="cellIs" priority="10" operator="lessThan" dxfId="2">
      <formula>0.5</formula>
    </cfRule>
  </conditionalFormatting>
  <conditionalFormatting sqref="V24:V38">
    <cfRule type="expression" priority="11" dxfId="0">
      <formula>AND(V24&gt;=Y24,Y24&lt;&gt;"")</formula>
    </cfRule>
    <cfRule type="expression" priority="12" dxfId="2">
      <formula>AND(V24&lt;Y24,Y24&lt;&gt;"")</formula>
    </cfRule>
  </conditionalFormatting>
  <conditionalFormatting sqref="AB24:AB38">
    <cfRule type="expression" priority="13" dxfId="2">
      <formula>AND(ISNUMBER(AB24),W24&gt;0,AB24&gt;2*(V24/W24))</formula>
    </cfRule>
  </conditionalFormatting>
  <conditionalFormatting sqref="A24:A38">
    <cfRule type="expression" priority="14" dxfId="2">
      <formula>OR(AND(C24="A",E24="A"),AND(E24="A",G24="A"),AND(G24="A",I24="A"),AND(I24="A",K24="A"),AND(K24="A",M24="A"),AND(M24="A",O24="A"),AND(O24="A",Q24="A"),AND(Q24="A",S24="A"),AND(S24="A",U24="A"))</formula>
    </cfRule>
  </conditionalFormatting>
  <conditionalFormatting sqref="AA43:AA57">
    <cfRule type="cellIs" priority="15" operator="greaterThanOrEqual" dxfId="0">
      <formula>1</formula>
    </cfRule>
    <cfRule type="cellIs" priority="16" operator="between" dxfId="1">
      <formula>0.5</formula>
      <formula>0.9999</formula>
    </cfRule>
    <cfRule type="cellIs" priority="17" operator="lessThan" dxfId="2">
      <formula>0.5</formula>
    </cfRule>
  </conditionalFormatting>
  <conditionalFormatting sqref="V43:V57">
    <cfRule type="expression" priority="18" dxfId="0">
      <formula>AND(V43&gt;=Y43,Y43&lt;&gt;"")</formula>
    </cfRule>
    <cfRule type="expression" priority="19" dxfId="2">
      <formula>AND(V43&lt;Y43,Y43&lt;&gt;"")</formula>
    </cfRule>
  </conditionalFormatting>
  <conditionalFormatting sqref="AB43:AB57">
    <cfRule type="expression" priority="20" dxfId="2">
      <formula>AND(ISNUMBER(AB43),W43&gt;0,AB43&gt;2*(V43/W43))</formula>
    </cfRule>
  </conditionalFormatting>
  <conditionalFormatting sqref="A43:A57">
    <cfRule type="expression" priority="21" dxfId="2">
      <formula>OR(AND(C43="A",E43="A"),AND(E43="A",G43="A"),AND(G43="A",I43="A"),AND(I43="A",K43="A"),AND(K43="A",M43="A"),AND(M43="A",O43="A"),AND(O43="A",Q43="A"),AND(Q43="A",S43="A"),AND(S43="A",U43="A"))</formula>
    </cfRule>
  </conditionalFormatting>
  <conditionalFormatting sqref="AA62:AA76">
    <cfRule type="cellIs" priority="22" operator="greaterThanOrEqual" dxfId="0">
      <formula>1</formula>
    </cfRule>
    <cfRule type="cellIs" priority="23" operator="between" dxfId="1">
      <formula>0.5</formula>
      <formula>0.9999</formula>
    </cfRule>
    <cfRule type="cellIs" priority="24" operator="lessThan" dxfId="2">
      <formula>0.5</formula>
    </cfRule>
  </conditionalFormatting>
  <conditionalFormatting sqref="V62:V76">
    <cfRule type="expression" priority="25" dxfId="0">
      <formula>AND(V62&gt;=Y62,Y62&lt;&gt;"")</formula>
    </cfRule>
    <cfRule type="expression" priority="26" dxfId="2">
      <formula>AND(V62&lt;Y62,Y62&lt;&gt;"")</formula>
    </cfRule>
  </conditionalFormatting>
  <conditionalFormatting sqref="AB62:AB76">
    <cfRule type="expression" priority="27" dxfId="2">
      <formula>AND(ISNUMBER(AB62),W62&gt;0,AB62&gt;2*(V62/W62))</formula>
    </cfRule>
  </conditionalFormatting>
  <conditionalFormatting sqref="A62:A76">
    <cfRule type="expression" priority="28" dxfId="2">
      <formula>OR(AND(C62="A",E62="A"),AND(E62="A",G62="A"),AND(G62="A",I62="A"),AND(I62="A",K62="A"),AND(K62="A",M62="A"),AND(M62="A",O62="A"),AND(O62="A",Q62="A"),AND(Q62="A",S62="A"),AND(S62="A",U62="A"))</formula>
    </cfRule>
  </conditionalFormatting>
  <dataValidations count="1">
    <dataValidation sqref="C5 C6 C7 C8 C9 C10 C11 C12 C13 C14 C15 C16 C17 C18 C19 C24 C25 C26 C27 C28 C29 C30 C31 C32 C33 C34 C35 C36 C37 C38 C43 C44 C45 C46 C47 C48 C49 C50 C51 C52 C53 C54 C55 C56 C57 C62 C63 C64 C65 C66 C67 C68 C69 C70 C71 C72 C73 C74 C75 C76 E5 E6 E7 E8 E9 E10 E11 E12 E13 E14 E15 E16 E17 E18 E19 E24 E25 E26 E27 E28 E29 E30 E31 E32 E33 E34 E35 E36 E37 E38 E43 E44 E45 E46 E47 E48 E49 E50 E51 E52 E53 E54 E55 E56 E57 E62 E63 E64 E65 E66 E67 E68 E69 E70 E71 E72 E73 E74 E75 E76 G5 G6 G7 G8 G9 G10 G11 G12 G13 G14 G15 G16 G17 G18 G19 G24 G25 G26 G27 G28 G29 G30 G31 G32 G33 G34 G35 G36 G37 G38 G43 G44 G45 G46 G47 G48 G49 G50 G51 G52 G53 G54 G55 G56 G57 G62 G63 G64 G65 G66 G67 G68 G69 G70 G71 G72 G73 G74 G75 G76 I5 I6 I7 I8 I9 I10 I11 I12 I13 I14 I15 I16 I17 I18 I19 I24 I25 I26 I27 I28 I29 I30 I31 I32 I33 I34 I35 I36 I37 I38 I43 I44 I45 I46 I47 I48 I49 I50 I51 I52 I53 I54 I55 I56 I57 I62 I63 I64 I65 I66 I67 I68 I69 I70 I71 I72 I73 I74 I75 I76 K5 K6 K7 K8 K9 K10 K11 K12 K13 K14 K15 K16 K17 K18 K19 K24 K25 K26 K27 K28 K29 K30 K31 K32 K33 K34 K35 K36 K37 K38 K43 K44 K45 K46 K47 K48 K49 K50 K51 K52 K53 K54 K55 K56 K57 K62 K63 K64 K65 K66 K67 K68 K69 K70 K71 K72 K73 K74 K75 K76 M5 M6 M7 M8 M9 M10 M11 M12 M13 M14 M15 M16 M17 M18 M19 M24 M25 M26 M27 M28 M29 M30 M31 M32 M33 M34 M35 M36 M37 M38 M43 M44 M45 M46 M47 M48 M49 M50 M51 M52 M53 M54 M55 M56 M57 M62 M63 M64 M65 M66 M67 M68 M69 M70 M71 M72 M73 M74 M75 M76 O5 O6 O7 O8 O9 O10 O11 O12 O13 O14 O15 O16 O17 O18 O19 O24 O25 O26 O27 O28 O29 O30 O31 O32 O33 O34 O35 O36 O37 O38 O43 O44 O45 O46 O47 O48 O49 O50 O51 O52 O53 O54 O55 O56 O57 O62 O63 O64 O65 O66 O67 O68 O69 O70 O71 O72 O73 O74 O75 O76 Q5 Q6 Q7 Q8 Q9 Q10 Q11 Q12 Q13 Q14 Q15 Q16 Q17 Q18 Q19 Q24 Q25 Q26 Q27 Q28 Q29 Q30 Q31 Q32 Q33 Q34 Q35 Q36 Q37 Q38 Q43 Q44 Q45 Q46 Q47 Q48 Q49 Q50 Q51 Q52 Q53 Q54 Q55 Q56 Q57 Q62 Q63 Q64 Q65 Q66 Q67 Q68 Q69 Q70 Q71 Q72 Q73 Q74 Q75 Q76 S5 S6 S7 S8 S9 S10 S11 S12 S13 S14 S15 S16 S17 S18 S19 S24 S25 S26 S27 S28 S29 S30 S31 S32 S33 S34 S35 S36 S37 S38 S43 S44 S45 S46 S47 S48 S49 S50 S51 S52 S53 S54 S55 S56 S57 S62 S63 S64 S65 S66 S67 S68 S69 S70 S71 S72 S73 S74 S75 S76 U5 U6 U7 U8 U9 U10 U11 U12 U13 U14 U15 U16 U17 U18 U19 U24 U25 U26 U27 U28 U29 U30 U31 U32 U33 U34 U35 U36 U37 U38 U43 U44 U45 U46 U47 U48 U49 U50 U51 U52 U53 U54 U55 U56 U57 U62 U63 U64 U65 U66 U67 U68 U69 U70 U71 U72 U73 U74 U75 U76" showDropDown="0" showInputMessage="0" showErrorMessage="1" allowBlank="1" errorTitle="Invalid" error="Enter P (Present), A (Absent), or R (Rescheduled)" type="list">
      <formula1>"P,A,R"</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E69138"/>
    <outlinePr summaryBelow="1" summaryRight="1"/>
    <pageSetUpPr fitToPage="1"/>
  </sheetPr>
  <dimension ref="A1:AC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c r="A1" s="15" t="inlineStr">
        <is>
          <t>OT — SPED Minute Tracker</t>
        </is>
      </c>
    </row>
    <row r="3">
      <c r="A3" s="16" t="inlineStr">
        <is>
          <t>Q1 — Quarter 1</t>
        </is>
      </c>
    </row>
    <row r="4">
      <c r="A4" s="17" t="inlineStr">
        <is>
          <t>Student Name</t>
        </is>
      </c>
      <c r="B4" s="17" t="inlineStr">
        <is>
          <t>Sess 1</t>
        </is>
      </c>
      <c r="C4" s="17" t="inlineStr">
        <is>
          <t>Att 1</t>
        </is>
      </c>
      <c r="D4" s="17" t="inlineStr">
        <is>
          <t>Sess 2</t>
        </is>
      </c>
      <c r="E4" s="17" t="inlineStr">
        <is>
          <t>Att 2</t>
        </is>
      </c>
      <c r="F4" s="17" t="inlineStr">
        <is>
          <t>Sess 3</t>
        </is>
      </c>
      <c r="G4" s="17" t="inlineStr">
        <is>
          <t>Att 3</t>
        </is>
      </c>
      <c r="H4" s="17" t="inlineStr">
        <is>
          <t>Sess 4</t>
        </is>
      </c>
      <c r="I4" s="17" t="inlineStr">
        <is>
          <t>Att 4</t>
        </is>
      </c>
      <c r="J4" s="17" t="inlineStr">
        <is>
          <t>Sess 5</t>
        </is>
      </c>
      <c r="K4" s="17" t="inlineStr">
        <is>
          <t>Att 5</t>
        </is>
      </c>
      <c r="L4" s="17" t="inlineStr">
        <is>
          <t>Sess 6</t>
        </is>
      </c>
      <c r="M4" s="17" t="inlineStr">
        <is>
          <t>Att 6</t>
        </is>
      </c>
      <c r="N4" s="17" t="inlineStr">
        <is>
          <t>Sess 7</t>
        </is>
      </c>
      <c r="O4" s="17" t="inlineStr">
        <is>
          <t>Att 7</t>
        </is>
      </c>
      <c r="P4" s="17" t="inlineStr">
        <is>
          <t>Sess 8</t>
        </is>
      </c>
      <c r="Q4" s="17" t="inlineStr">
        <is>
          <t>Att 8</t>
        </is>
      </c>
      <c r="R4" s="17" t="inlineStr">
        <is>
          <t>Sess 9</t>
        </is>
      </c>
      <c r="S4" s="17" t="inlineStr">
        <is>
          <t>Att 9</t>
        </is>
      </c>
      <c r="T4" s="17" t="inlineStr">
        <is>
          <t>Sess 10</t>
        </is>
      </c>
      <c r="U4" s="17" t="inlineStr">
        <is>
          <t>Att 10</t>
        </is>
      </c>
      <c r="V4" s="17" t="inlineStr">
        <is>
          <t>Min Met</t>
        </is>
      </c>
      <c r="W4" s="17" t="inlineStr">
        <is>
          <t>Sess Att</t>
        </is>
      </c>
      <c r="X4" s="17" t="inlineStr">
        <is>
          <t>Absences</t>
        </is>
      </c>
      <c r="Y4" s="17" t="inlineStr">
        <is>
          <t>IEP Req</t>
        </is>
      </c>
      <c r="Z4" s="17" t="inlineStr">
        <is>
          <t>Min Remain</t>
        </is>
      </c>
      <c r="AA4" s="17" t="inlineStr">
        <is>
          <t>% Complete</t>
        </is>
      </c>
      <c r="AB4" s="17" t="inlineStr">
        <is>
          <t>Pace Needed</t>
        </is>
      </c>
      <c r="AC4" s="17" t="inlineStr">
        <is>
          <t>Projected</t>
        </is>
      </c>
    </row>
    <row r="5">
      <c r="A5" s="18" t="inlineStr">
        <is>
          <t>Raya Hightower</t>
        </is>
      </c>
      <c r="B5" s="19" t="n"/>
      <c r="C5" s="6" t="n"/>
      <c r="D5" s="19" t="n"/>
      <c r="E5" s="6" t="n"/>
      <c r="F5" s="19" t="n"/>
      <c r="G5" s="6" t="n"/>
      <c r="H5" s="19" t="n"/>
      <c r="I5" s="6" t="n"/>
      <c r="J5" s="19" t="n"/>
      <c r="K5" s="6" t="n"/>
      <c r="L5" s="19" t="n"/>
      <c r="M5" s="6" t="n"/>
      <c r="N5" s="19" t="n"/>
      <c r="O5" s="6" t="n"/>
      <c r="P5" s="19" t="n"/>
      <c r="Q5" s="6" t="n"/>
      <c r="R5" s="19" t="n"/>
      <c r="S5" s="6" t="n"/>
      <c r="T5" s="19" t="n"/>
      <c r="U5" s="6" t="n"/>
      <c r="V5" s="20">
        <f>SUM(B5,D5,F5,H5,J5,L5,N5,P5,R5,T5)</f>
        <v/>
      </c>
      <c r="W5" s="19">
        <f>COUNTIF(C5,"P")+COUNTIF(E5,"P")+COUNTIF(G5,"P")+COUNTIF(I5,"P")+COUNTIF(K5,"P")+COUNTIF(M5,"P")+COUNTIF(O5,"P")+COUNTIF(Q5,"P")+COUNTIF(S5,"P")+COUNTIF(U5,"P")</f>
        <v/>
      </c>
      <c r="X5" s="19">
        <f>COUNTIF(C5,"A")+COUNTIF(E5,"A")+COUNTIF(G5,"A")+COUNTIF(I5,"A")+COUNTIF(K5,"A")+COUNTIF(M5,"A")+COUNTIF(O5,"A")+COUNTIF(Q5,"A")+COUNTIF(S5,"A")+COUNTIF(U5,"A")</f>
        <v/>
      </c>
      <c r="Y5" s="19" t="n"/>
      <c r="Z5" s="19">
        <f>IF(Y5="","",Y5-V5)</f>
        <v/>
      </c>
      <c r="AA5" s="21">
        <f>IF(OR(Y5="",Y5=0),"",V5/Y5)</f>
        <v/>
      </c>
      <c r="AB5" s="22">
        <f>IF(OR(Y5="",Y5=0),"",IF((10-W5-X5)&lt;=0,"N/A",Z5/(10-W5-X5)))</f>
        <v/>
      </c>
      <c r="AC5" s="19">
        <f>IF(W5=0,"",ROUND((V5/W5)*10,0))</f>
        <v/>
      </c>
    </row>
    <row r="6">
      <c r="A6" s="18" t="inlineStr">
        <is>
          <t>Anu Vijay Anand</t>
        </is>
      </c>
      <c r="B6" s="19" t="n"/>
      <c r="C6" s="6" t="n"/>
      <c r="D6" s="19" t="n"/>
      <c r="E6" s="6" t="n"/>
      <c r="F6" s="19" t="n"/>
      <c r="G6" s="6" t="n"/>
      <c r="H6" s="19" t="n"/>
      <c r="I6" s="6" t="n"/>
      <c r="J6" s="19" t="n"/>
      <c r="K6" s="6" t="n"/>
      <c r="L6" s="19" t="n"/>
      <c r="M6" s="6" t="n"/>
      <c r="N6" s="19" t="n"/>
      <c r="O6" s="6" t="n"/>
      <c r="P6" s="19" t="n"/>
      <c r="Q6" s="6" t="n"/>
      <c r="R6" s="19" t="n"/>
      <c r="S6" s="6" t="n"/>
      <c r="T6" s="19" t="n"/>
      <c r="U6" s="6" t="n"/>
      <c r="V6" s="20">
        <f>SUM(B6,D6,F6,H6,J6,L6,N6,P6,R6,T6)</f>
        <v/>
      </c>
      <c r="W6" s="19">
        <f>COUNTIF(C6,"P")+COUNTIF(E6,"P")+COUNTIF(G6,"P")+COUNTIF(I6,"P")+COUNTIF(K6,"P")+COUNTIF(M6,"P")+COUNTIF(O6,"P")+COUNTIF(Q6,"P")+COUNTIF(S6,"P")+COUNTIF(U6,"P")</f>
        <v/>
      </c>
      <c r="X6" s="19">
        <f>COUNTIF(C6,"A")+COUNTIF(E6,"A")+COUNTIF(G6,"A")+COUNTIF(I6,"A")+COUNTIF(K6,"A")+COUNTIF(M6,"A")+COUNTIF(O6,"A")+COUNTIF(Q6,"A")+COUNTIF(S6,"A")+COUNTIF(U6,"A")</f>
        <v/>
      </c>
      <c r="Y6" s="19" t="n"/>
      <c r="Z6" s="19">
        <f>IF(Y6="","",Y6-V6)</f>
        <v/>
      </c>
      <c r="AA6" s="21">
        <f>IF(OR(Y6="",Y6=0),"",V6/Y6)</f>
        <v/>
      </c>
      <c r="AB6" s="22">
        <f>IF(OR(Y6="",Y6=0),"",IF((10-W6-X6)&lt;=0,"N/A",Z6/(10-W6-X6)))</f>
        <v/>
      </c>
      <c r="AC6" s="19">
        <f>IF(W6=0,"",ROUND((V6/W6)*10,0))</f>
        <v/>
      </c>
    </row>
    <row r="7">
      <c r="A7" s="18" t="inlineStr">
        <is>
          <t>Aadhya Gone</t>
        </is>
      </c>
      <c r="B7" s="19" t="n"/>
      <c r="C7" s="6" t="n"/>
      <c r="D7" s="19" t="n"/>
      <c r="E7" s="6" t="n"/>
      <c r="F7" s="19" t="n"/>
      <c r="G7" s="6" t="n"/>
      <c r="H7" s="19" t="n"/>
      <c r="I7" s="6" t="n"/>
      <c r="J7" s="19" t="n"/>
      <c r="K7" s="6" t="n"/>
      <c r="L7" s="19" t="n"/>
      <c r="M7" s="6" t="n"/>
      <c r="N7" s="19" t="n"/>
      <c r="O7" s="6" t="n"/>
      <c r="P7" s="19" t="n"/>
      <c r="Q7" s="6" t="n"/>
      <c r="R7" s="19" t="n"/>
      <c r="S7" s="6" t="n"/>
      <c r="T7" s="19" t="n"/>
      <c r="U7" s="6" t="n"/>
      <c r="V7" s="20">
        <f>SUM(B7,D7,F7,H7,J7,L7,N7,P7,R7,T7)</f>
        <v/>
      </c>
      <c r="W7" s="19">
        <f>COUNTIF(C7,"P")+COUNTIF(E7,"P")+COUNTIF(G7,"P")+COUNTIF(I7,"P")+COUNTIF(K7,"P")+COUNTIF(M7,"P")+COUNTIF(O7,"P")+COUNTIF(Q7,"P")+COUNTIF(S7,"P")+COUNTIF(U7,"P")</f>
        <v/>
      </c>
      <c r="X7" s="19">
        <f>COUNTIF(C7,"A")+COUNTIF(E7,"A")+COUNTIF(G7,"A")+COUNTIF(I7,"A")+COUNTIF(K7,"A")+COUNTIF(M7,"A")+COUNTIF(O7,"A")+COUNTIF(Q7,"A")+COUNTIF(S7,"A")+COUNTIF(U7,"A")</f>
        <v/>
      </c>
      <c r="Y7" s="19" t="n"/>
      <c r="Z7" s="19">
        <f>IF(Y7="","",Y7-V7)</f>
        <v/>
      </c>
      <c r="AA7" s="21">
        <f>IF(OR(Y7="",Y7=0),"",V7/Y7)</f>
        <v/>
      </c>
      <c r="AB7" s="22">
        <f>IF(OR(Y7="",Y7=0),"",IF((10-W7-X7)&lt;=0,"N/A",Z7/(10-W7-X7)))</f>
        <v/>
      </c>
      <c r="AC7" s="19">
        <f>IF(W7=0,"",ROUND((V7/W7)*10,0))</f>
        <v/>
      </c>
    </row>
    <row r="8">
      <c r="A8" s="18" t="inlineStr">
        <is>
          <t>Sumeyah Khan</t>
        </is>
      </c>
      <c r="B8" s="19" t="n"/>
      <c r="C8" s="6" t="n"/>
      <c r="D8" s="19" t="n"/>
      <c r="E8" s="6" t="n"/>
      <c r="F8" s="19" t="n"/>
      <c r="G8" s="6" t="n"/>
      <c r="H8" s="19" t="n"/>
      <c r="I8" s="6" t="n"/>
      <c r="J8" s="19" t="n"/>
      <c r="K8" s="6" t="n"/>
      <c r="L8" s="19" t="n"/>
      <c r="M8" s="6" t="n"/>
      <c r="N8" s="19" t="n"/>
      <c r="O8" s="6" t="n"/>
      <c r="P8" s="19" t="n"/>
      <c r="Q8" s="6" t="n"/>
      <c r="R8" s="19" t="n"/>
      <c r="S8" s="6" t="n"/>
      <c r="T8" s="19" t="n"/>
      <c r="U8" s="6" t="n"/>
      <c r="V8" s="20">
        <f>SUM(B8,D8,F8,H8,J8,L8,N8,P8,R8,T8)</f>
        <v/>
      </c>
      <c r="W8" s="19">
        <f>COUNTIF(C8,"P")+COUNTIF(E8,"P")+COUNTIF(G8,"P")+COUNTIF(I8,"P")+COUNTIF(K8,"P")+COUNTIF(M8,"P")+COUNTIF(O8,"P")+COUNTIF(Q8,"P")+COUNTIF(S8,"P")+COUNTIF(U8,"P")</f>
        <v/>
      </c>
      <c r="X8" s="19">
        <f>COUNTIF(C8,"A")+COUNTIF(E8,"A")+COUNTIF(G8,"A")+COUNTIF(I8,"A")+COUNTIF(K8,"A")+COUNTIF(M8,"A")+COUNTIF(O8,"A")+COUNTIF(Q8,"A")+COUNTIF(S8,"A")+COUNTIF(U8,"A")</f>
        <v/>
      </c>
      <c r="Y8" s="19" t="n"/>
      <c r="Z8" s="19">
        <f>IF(Y8="","",Y8-V8)</f>
        <v/>
      </c>
      <c r="AA8" s="21">
        <f>IF(OR(Y8="",Y8=0),"",V8/Y8)</f>
        <v/>
      </c>
      <c r="AB8" s="22">
        <f>IF(OR(Y8="",Y8=0),"",IF((10-W8-X8)&lt;=0,"N/A",Z8/(10-W8-X8)))</f>
        <v/>
      </c>
      <c r="AC8" s="19">
        <f>IF(W8=0,"",ROUND((V8/W8)*10,0))</f>
        <v/>
      </c>
    </row>
    <row r="9">
      <c r="A9" s="18" t="inlineStr">
        <is>
          <t>Maria Mujeeb</t>
        </is>
      </c>
      <c r="B9" s="19" t="n"/>
      <c r="C9" s="6" t="n"/>
      <c r="D9" s="19" t="n"/>
      <c r="E9" s="6" t="n"/>
      <c r="F9" s="19" t="n"/>
      <c r="G9" s="6" t="n"/>
      <c r="H9" s="19" t="n"/>
      <c r="I9" s="6" t="n"/>
      <c r="J9" s="19" t="n"/>
      <c r="K9" s="6" t="n"/>
      <c r="L9" s="19" t="n"/>
      <c r="M9" s="6" t="n"/>
      <c r="N9" s="19" t="n"/>
      <c r="O9" s="6" t="n"/>
      <c r="P9" s="19" t="n"/>
      <c r="Q9" s="6" t="n"/>
      <c r="R9" s="19" t="n"/>
      <c r="S9" s="6" t="n"/>
      <c r="T9" s="19" t="n"/>
      <c r="U9" s="6" t="n"/>
      <c r="V9" s="20">
        <f>SUM(B9,D9,F9,H9,J9,L9,N9,P9,R9,T9)</f>
        <v/>
      </c>
      <c r="W9" s="19">
        <f>COUNTIF(C9,"P")+COUNTIF(E9,"P")+COUNTIF(G9,"P")+COUNTIF(I9,"P")+COUNTIF(K9,"P")+COUNTIF(M9,"P")+COUNTIF(O9,"P")+COUNTIF(Q9,"P")+COUNTIF(S9,"P")+COUNTIF(U9,"P")</f>
        <v/>
      </c>
      <c r="X9" s="19">
        <f>COUNTIF(C9,"A")+COUNTIF(E9,"A")+COUNTIF(G9,"A")+COUNTIF(I9,"A")+COUNTIF(K9,"A")+COUNTIF(M9,"A")+COUNTIF(O9,"A")+COUNTIF(Q9,"A")+COUNTIF(S9,"A")+COUNTIF(U9,"A")</f>
        <v/>
      </c>
      <c r="Y9" s="19" t="n"/>
      <c r="Z9" s="19">
        <f>IF(Y9="","",Y9-V9)</f>
        <v/>
      </c>
      <c r="AA9" s="21">
        <f>IF(OR(Y9="",Y9=0),"",V9/Y9)</f>
        <v/>
      </c>
      <c r="AB9" s="22">
        <f>IF(OR(Y9="",Y9=0),"",IF((10-W9-X9)&lt;=0,"N/A",Z9/(10-W9-X9)))</f>
        <v/>
      </c>
      <c r="AC9" s="19">
        <f>IF(W9=0,"",ROUND((V9/W9)*10,0))</f>
        <v/>
      </c>
    </row>
    <row r="10">
      <c r="A10" s="18" t="inlineStr">
        <is>
          <t>Jace Ratliff</t>
        </is>
      </c>
      <c r="B10" s="19" t="n"/>
      <c r="C10" s="6" t="n"/>
      <c r="D10" s="19" t="n"/>
      <c r="E10" s="6" t="n"/>
      <c r="F10" s="19" t="n"/>
      <c r="G10" s="6" t="n"/>
      <c r="H10" s="19" t="n"/>
      <c r="I10" s="6" t="n"/>
      <c r="J10" s="19" t="n"/>
      <c r="K10" s="6" t="n"/>
      <c r="L10" s="19" t="n"/>
      <c r="M10" s="6" t="n"/>
      <c r="N10" s="19" t="n"/>
      <c r="O10" s="6" t="n"/>
      <c r="P10" s="19" t="n"/>
      <c r="Q10" s="6" t="n"/>
      <c r="R10" s="19" t="n"/>
      <c r="S10" s="6" t="n"/>
      <c r="T10" s="19" t="n"/>
      <c r="U10" s="6" t="n"/>
      <c r="V10" s="20">
        <f>SUM(B10,D10,F10,H10,J10,L10,N10,P10,R10,T10)</f>
        <v/>
      </c>
      <c r="W10" s="19">
        <f>COUNTIF(C10,"P")+COUNTIF(E10,"P")+COUNTIF(G10,"P")+COUNTIF(I10,"P")+COUNTIF(K10,"P")+COUNTIF(M10,"P")+COUNTIF(O10,"P")+COUNTIF(Q10,"P")+COUNTIF(S10,"P")+COUNTIF(U10,"P")</f>
        <v/>
      </c>
      <c r="X10" s="19">
        <f>COUNTIF(C10,"A")+COUNTIF(E10,"A")+COUNTIF(G10,"A")+COUNTIF(I10,"A")+COUNTIF(K10,"A")+COUNTIF(M10,"A")+COUNTIF(O10,"A")+COUNTIF(Q10,"A")+COUNTIF(S10,"A")+COUNTIF(U10,"A")</f>
        <v/>
      </c>
      <c r="Y10" s="19" t="n"/>
      <c r="Z10" s="19">
        <f>IF(Y10="","",Y10-V10)</f>
        <v/>
      </c>
      <c r="AA10" s="21">
        <f>IF(OR(Y10="",Y10=0),"",V10/Y10)</f>
        <v/>
      </c>
      <c r="AB10" s="22">
        <f>IF(OR(Y10="",Y10=0),"",IF((10-W10-X10)&lt;=0,"N/A",Z10/(10-W10-X10)))</f>
        <v/>
      </c>
      <c r="AC10" s="19">
        <f>IF(W10=0,"",ROUND((V10/W10)*10,0))</f>
        <v/>
      </c>
    </row>
    <row r="11">
      <c r="A11" s="18" t="inlineStr">
        <is>
          <t>Evan Allen</t>
        </is>
      </c>
      <c r="B11" s="19" t="n"/>
      <c r="C11" s="6" t="n"/>
      <c r="D11" s="19" t="n"/>
      <c r="E11" s="6" t="n"/>
      <c r="F11" s="19" t="n"/>
      <c r="G11" s="6" t="n"/>
      <c r="H11" s="19" t="n"/>
      <c r="I11" s="6" t="n"/>
      <c r="J11" s="19" t="n"/>
      <c r="K11" s="6" t="n"/>
      <c r="L11" s="19" t="n"/>
      <c r="M11" s="6" t="n"/>
      <c r="N11" s="19" t="n"/>
      <c r="O11" s="6" t="n"/>
      <c r="P11" s="19" t="n"/>
      <c r="Q11" s="6" t="n"/>
      <c r="R11" s="19" t="n"/>
      <c r="S11" s="6" t="n"/>
      <c r="T11" s="19" t="n"/>
      <c r="U11" s="6" t="n"/>
      <c r="V11" s="20">
        <f>SUM(B11,D11,F11,H11,J11,L11,N11,P11,R11,T11)</f>
        <v/>
      </c>
      <c r="W11" s="19">
        <f>COUNTIF(C11,"P")+COUNTIF(E11,"P")+COUNTIF(G11,"P")+COUNTIF(I11,"P")+COUNTIF(K11,"P")+COUNTIF(M11,"P")+COUNTIF(O11,"P")+COUNTIF(Q11,"P")+COUNTIF(S11,"P")+COUNTIF(U11,"P")</f>
        <v/>
      </c>
      <c r="X11" s="19">
        <f>COUNTIF(C11,"A")+COUNTIF(E11,"A")+COUNTIF(G11,"A")+COUNTIF(I11,"A")+COUNTIF(K11,"A")+COUNTIF(M11,"A")+COUNTIF(O11,"A")+COUNTIF(Q11,"A")+COUNTIF(S11,"A")+COUNTIF(U11,"A")</f>
        <v/>
      </c>
      <c r="Y11" s="19" t="n"/>
      <c r="Z11" s="19">
        <f>IF(Y11="","",Y11-V11)</f>
        <v/>
      </c>
      <c r="AA11" s="21">
        <f>IF(OR(Y11="",Y11=0),"",V11/Y11)</f>
        <v/>
      </c>
      <c r="AB11" s="22">
        <f>IF(OR(Y11="",Y11=0),"",IF((10-W11-X11)&lt;=0,"N/A",Z11/(10-W11-X11)))</f>
        <v/>
      </c>
      <c r="AC11" s="19">
        <f>IF(W11=0,"",ROUND((V11/W11)*10,0))</f>
        <v/>
      </c>
    </row>
    <row r="12">
      <c r="A12" s="18" t="inlineStr">
        <is>
          <t>Sai Neelagiri</t>
        </is>
      </c>
      <c r="B12" s="19" t="n"/>
      <c r="C12" s="6" t="n"/>
      <c r="D12" s="19" t="n"/>
      <c r="E12" s="6" t="n"/>
      <c r="F12" s="19" t="n"/>
      <c r="G12" s="6" t="n"/>
      <c r="H12" s="19" t="n"/>
      <c r="I12" s="6" t="n"/>
      <c r="J12" s="19" t="n"/>
      <c r="K12" s="6" t="n"/>
      <c r="L12" s="19" t="n"/>
      <c r="M12" s="6" t="n"/>
      <c r="N12" s="19" t="n"/>
      <c r="O12" s="6" t="n"/>
      <c r="P12" s="19" t="n"/>
      <c r="Q12" s="6" t="n"/>
      <c r="R12" s="19" t="n"/>
      <c r="S12" s="6" t="n"/>
      <c r="T12" s="19" t="n"/>
      <c r="U12" s="6" t="n"/>
      <c r="V12" s="20">
        <f>SUM(B12,D12,F12,H12,J12,L12,N12,P12,R12,T12)</f>
        <v/>
      </c>
      <c r="W12" s="19">
        <f>COUNTIF(C12,"P")+COUNTIF(E12,"P")+COUNTIF(G12,"P")+COUNTIF(I12,"P")+COUNTIF(K12,"P")+COUNTIF(M12,"P")+COUNTIF(O12,"P")+COUNTIF(Q12,"P")+COUNTIF(S12,"P")+COUNTIF(U12,"P")</f>
        <v/>
      </c>
      <c r="X12" s="19">
        <f>COUNTIF(C12,"A")+COUNTIF(E12,"A")+COUNTIF(G12,"A")+COUNTIF(I12,"A")+COUNTIF(K12,"A")+COUNTIF(M12,"A")+COUNTIF(O12,"A")+COUNTIF(Q12,"A")+COUNTIF(S12,"A")+COUNTIF(U12,"A")</f>
        <v/>
      </c>
      <c r="Y12" s="19" t="n"/>
      <c r="Z12" s="19">
        <f>IF(Y12="","",Y12-V12)</f>
        <v/>
      </c>
      <c r="AA12" s="21">
        <f>IF(OR(Y12="",Y12=0),"",V12/Y12)</f>
        <v/>
      </c>
      <c r="AB12" s="22">
        <f>IF(OR(Y12="",Y12=0),"",IF((10-W12-X12)&lt;=0,"N/A",Z12/(10-W12-X12)))</f>
        <v/>
      </c>
      <c r="AC12" s="19">
        <f>IF(W12=0,"",ROUND((V12/W12)*10,0))</f>
        <v/>
      </c>
    </row>
    <row r="13">
      <c r="A13" s="18" t="inlineStr">
        <is>
          <t>Fletcher Meese</t>
        </is>
      </c>
      <c r="B13" s="19" t="n"/>
      <c r="C13" s="6" t="n"/>
      <c r="D13" s="19" t="n"/>
      <c r="E13" s="6" t="n"/>
      <c r="F13" s="19" t="n"/>
      <c r="G13" s="6" t="n"/>
      <c r="H13" s="19" t="n"/>
      <c r="I13" s="6" t="n"/>
      <c r="J13" s="19" t="n"/>
      <c r="K13" s="6" t="n"/>
      <c r="L13" s="19" t="n"/>
      <c r="M13" s="6" t="n"/>
      <c r="N13" s="19" t="n"/>
      <c r="O13" s="6" t="n"/>
      <c r="P13" s="19" t="n"/>
      <c r="Q13" s="6" t="n"/>
      <c r="R13" s="19" t="n"/>
      <c r="S13" s="6" t="n"/>
      <c r="T13" s="19" t="n"/>
      <c r="U13" s="6" t="n"/>
      <c r="V13" s="20">
        <f>SUM(B13,D13,F13,H13,J13,L13,N13,P13,R13,T13)</f>
        <v/>
      </c>
      <c r="W13" s="19">
        <f>COUNTIF(C13,"P")+COUNTIF(E13,"P")+COUNTIF(G13,"P")+COUNTIF(I13,"P")+COUNTIF(K13,"P")+COUNTIF(M13,"P")+COUNTIF(O13,"P")+COUNTIF(Q13,"P")+COUNTIF(S13,"P")+COUNTIF(U13,"P")</f>
        <v/>
      </c>
      <c r="X13" s="19">
        <f>COUNTIF(C13,"A")+COUNTIF(E13,"A")+COUNTIF(G13,"A")+COUNTIF(I13,"A")+COUNTIF(K13,"A")+COUNTIF(M13,"A")+COUNTIF(O13,"A")+COUNTIF(Q13,"A")+COUNTIF(S13,"A")+COUNTIF(U13,"A")</f>
        <v/>
      </c>
      <c r="Y13" s="19" t="n"/>
      <c r="Z13" s="19">
        <f>IF(Y13="","",Y13-V13)</f>
        <v/>
      </c>
      <c r="AA13" s="21">
        <f>IF(OR(Y13="",Y13=0),"",V13/Y13)</f>
        <v/>
      </c>
      <c r="AB13" s="22">
        <f>IF(OR(Y13="",Y13=0),"",IF((10-W13-X13)&lt;=0,"N/A",Z13/(10-W13-X13)))</f>
        <v/>
      </c>
      <c r="AC13" s="19">
        <f>IF(W13=0,"",ROUND((V13/W13)*10,0))</f>
        <v/>
      </c>
    </row>
    <row r="14">
      <c r="A14" s="18" t="inlineStr">
        <is>
          <t>Elijah Aldaco</t>
        </is>
      </c>
      <c r="B14" s="19" t="n"/>
      <c r="C14" s="6" t="n"/>
      <c r="D14" s="19" t="n"/>
      <c r="E14" s="6" t="n"/>
      <c r="F14" s="19" t="n"/>
      <c r="G14" s="6" t="n"/>
      <c r="H14" s="19" t="n"/>
      <c r="I14" s="6" t="n"/>
      <c r="J14" s="19" t="n"/>
      <c r="K14" s="6" t="n"/>
      <c r="L14" s="19" t="n"/>
      <c r="M14" s="6" t="n"/>
      <c r="N14" s="19" t="n"/>
      <c r="O14" s="6" t="n"/>
      <c r="P14" s="19" t="n"/>
      <c r="Q14" s="6" t="n"/>
      <c r="R14" s="19" t="n"/>
      <c r="S14" s="6" t="n"/>
      <c r="T14" s="19" t="n"/>
      <c r="U14" s="6" t="n"/>
      <c r="V14" s="20">
        <f>SUM(B14,D14,F14,H14,J14,L14,N14,P14,R14,T14)</f>
        <v/>
      </c>
      <c r="W14" s="19">
        <f>COUNTIF(C14,"P")+COUNTIF(E14,"P")+COUNTIF(G14,"P")+COUNTIF(I14,"P")+COUNTIF(K14,"P")+COUNTIF(M14,"P")+COUNTIF(O14,"P")+COUNTIF(Q14,"P")+COUNTIF(S14,"P")+COUNTIF(U14,"P")</f>
        <v/>
      </c>
      <c r="X14" s="19">
        <f>COUNTIF(C14,"A")+COUNTIF(E14,"A")+COUNTIF(G14,"A")+COUNTIF(I14,"A")+COUNTIF(K14,"A")+COUNTIF(M14,"A")+COUNTIF(O14,"A")+COUNTIF(Q14,"A")+COUNTIF(S14,"A")+COUNTIF(U14,"A")</f>
        <v/>
      </c>
      <c r="Y14" s="19" t="n"/>
      <c r="Z14" s="19">
        <f>IF(Y14="","",Y14-V14)</f>
        <v/>
      </c>
      <c r="AA14" s="21">
        <f>IF(OR(Y14="",Y14=0),"",V14/Y14)</f>
        <v/>
      </c>
      <c r="AB14" s="22">
        <f>IF(OR(Y14="",Y14=0),"",IF((10-W14-X14)&lt;=0,"N/A",Z14/(10-W14-X14)))</f>
        <v/>
      </c>
      <c r="AC14" s="19">
        <f>IF(W14=0,"",ROUND((V14/W14)*10,0))</f>
        <v/>
      </c>
    </row>
    <row r="15">
      <c r="A15" s="18" t="inlineStr">
        <is>
          <t>Cain Gutierrez</t>
        </is>
      </c>
      <c r="B15" s="19" t="n"/>
      <c r="C15" s="6" t="n"/>
      <c r="D15" s="19" t="n"/>
      <c r="E15" s="6" t="n"/>
      <c r="F15" s="19" t="n"/>
      <c r="G15" s="6" t="n"/>
      <c r="H15" s="19" t="n"/>
      <c r="I15" s="6" t="n"/>
      <c r="J15" s="19" t="n"/>
      <c r="K15" s="6" t="n"/>
      <c r="L15" s="19" t="n"/>
      <c r="M15" s="6" t="n"/>
      <c r="N15" s="19" t="n"/>
      <c r="O15" s="6" t="n"/>
      <c r="P15" s="19" t="n"/>
      <c r="Q15" s="6" t="n"/>
      <c r="R15" s="19" t="n"/>
      <c r="S15" s="6" t="n"/>
      <c r="T15" s="19" t="n"/>
      <c r="U15" s="6" t="n"/>
      <c r="V15" s="20">
        <f>SUM(B15,D15,F15,H15,J15,L15,N15,P15,R15,T15)</f>
        <v/>
      </c>
      <c r="W15" s="19">
        <f>COUNTIF(C15,"P")+COUNTIF(E15,"P")+COUNTIF(G15,"P")+COUNTIF(I15,"P")+COUNTIF(K15,"P")+COUNTIF(M15,"P")+COUNTIF(O15,"P")+COUNTIF(Q15,"P")+COUNTIF(S15,"P")+COUNTIF(U15,"P")</f>
        <v/>
      </c>
      <c r="X15" s="19">
        <f>COUNTIF(C15,"A")+COUNTIF(E15,"A")+COUNTIF(G15,"A")+COUNTIF(I15,"A")+COUNTIF(K15,"A")+COUNTIF(M15,"A")+COUNTIF(O15,"A")+COUNTIF(Q15,"A")+COUNTIF(S15,"A")+COUNTIF(U15,"A")</f>
        <v/>
      </c>
      <c r="Y15" s="19" t="n"/>
      <c r="Z15" s="19">
        <f>IF(Y15="","",Y15-V15)</f>
        <v/>
      </c>
      <c r="AA15" s="21">
        <f>IF(OR(Y15="",Y15=0),"",V15/Y15)</f>
        <v/>
      </c>
      <c r="AB15" s="22">
        <f>IF(OR(Y15="",Y15=0),"",IF((10-W15-X15)&lt;=0,"N/A",Z15/(10-W15-X15)))</f>
        <v/>
      </c>
      <c r="AC15" s="19">
        <f>IF(W15=0,"",ROUND((V15/W15)*10,0))</f>
        <v/>
      </c>
    </row>
    <row r="16">
      <c r="A16" s="18" t="inlineStr">
        <is>
          <t>Grayson Barnhart</t>
        </is>
      </c>
      <c r="B16" s="19" t="n"/>
      <c r="C16" s="6" t="n"/>
      <c r="D16" s="19" t="n"/>
      <c r="E16" s="6" t="n"/>
      <c r="F16" s="19" t="n"/>
      <c r="G16" s="6" t="n"/>
      <c r="H16" s="19" t="n"/>
      <c r="I16" s="6" t="n"/>
      <c r="J16" s="19" t="n"/>
      <c r="K16" s="6" t="n"/>
      <c r="L16" s="19" t="n"/>
      <c r="M16" s="6" t="n"/>
      <c r="N16" s="19" t="n"/>
      <c r="O16" s="6" t="n"/>
      <c r="P16" s="19" t="n"/>
      <c r="Q16" s="6" t="n"/>
      <c r="R16" s="19" t="n"/>
      <c r="S16" s="6" t="n"/>
      <c r="T16" s="19" t="n"/>
      <c r="U16" s="6" t="n"/>
      <c r="V16" s="20">
        <f>SUM(B16,D16,F16,H16,J16,L16,N16,P16,R16,T16)</f>
        <v/>
      </c>
      <c r="W16" s="19">
        <f>COUNTIF(C16,"P")+COUNTIF(E16,"P")+COUNTIF(G16,"P")+COUNTIF(I16,"P")+COUNTIF(K16,"P")+COUNTIF(M16,"P")+COUNTIF(O16,"P")+COUNTIF(Q16,"P")+COUNTIF(S16,"P")+COUNTIF(U16,"P")</f>
        <v/>
      </c>
      <c r="X16" s="19">
        <f>COUNTIF(C16,"A")+COUNTIF(E16,"A")+COUNTIF(G16,"A")+COUNTIF(I16,"A")+COUNTIF(K16,"A")+COUNTIF(M16,"A")+COUNTIF(O16,"A")+COUNTIF(Q16,"A")+COUNTIF(S16,"A")+COUNTIF(U16,"A")</f>
        <v/>
      </c>
      <c r="Y16" s="19" t="n"/>
      <c r="Z16" s="19">
        <f>IF(Y16="","",Y16-V16)</f>
        <v/>
      </c>
      <c r="AA16" s="21">
        <f>IF(OR(Y16="",Y16=0),"",V16/Y16)</f>
        <v/>
      </c>
      <c r="AB16" s="22">
        <f>IF(OR(Y16="",Y16=0),"",IF((10-W16-X16)&lt;=0,"N/A",Z16/(10-W16-X16)))</f>
        <v/>
      </c>
      <c r="AC16" s="19">
        <f>IF(W16=0,"",ROUND((V16/W16)*10,0))</f>
        <v/>
      </c>
    </row>
    <row r="17">
      <c r="A17" s="18" t="inlineStr">
        <is>
          <t>Abel Abraham</t>
        </is>
      </c>
      <c r="B17" s="19" t="n"/>
      <c r="C17" s="6" t="n"/>
      <c r="D17" s="19" t="n"/>
      <c r="E17" s="6" t="n"/>
      <c r="F17" s="19" t="n"/>
      <c r="G17" s="6" t="n"/>
      <c r="H17" s="19" t="n"/>
      <c r="I17" s="6" t="n"/>
      <c r="J17" s="19" t="n"/>
      <c r="K17" s="6" t="n"/>
      <c r="L17" s="19" t="n"/>
      <c r="M17" s="6" t="n"/>
      <c r="N17" s="19" t="n"/>
      <c r="O17" s="6" t="n"/>
      <c r="P17" s="19" t="n"/>
      <c r="Q17" s="6" t="n"/>
      <c r="R17" s="19" t="n"/>
      <c r="S17" s="6" t="n"/>
      <c r="T17" s="19" t="n"/>
      <c r="U17" s="6" t="n"/>
      <c r="V17" s="20">
        <f>SUM(B17,D17,F17,H17,J17,L17,N17,P17,R17,T17)</f>
        <v/>
      </c>
      <c r="W17" s="19">
        <f>COUNTIF(C17,"P")+COUNTIF(E17,"P")+COUNTIF(G17,"P")+COUNTIF(I17,"P")+COUNTIF(K17,"P")+COUNTIF(M17,"P")+COUNTIF(O17,"P")+COUNTIF(Q17,"P")+COUNTIF(S17,"P")+COUNTIF(U17,"P")</f>
        <v/>
      </c>
      <c r="X17" s="19">
        <f>COUNTIF(C17,"A")+COUNTIF(E17,"A")+COUNTIF(G17,"A")+COUNTIF(I17,"A")+COUNTIF(K17,"A")+COUNTIF(M17,"A")+COUNTIF(O17,"A")+COUNTIF(Q17,"A")+COUNTIF(S17,"A")+COUNTIF(U17,"A")</f>
        <v/>
      </c>
      <c r="Y17" s="19" t="n"/>
      <c r="Z17" s="19">
        <f>IF(Y17="","",Y17-V17)</f>
        <v/>
      </c>
      <c r="AA17" s="21">
        <f>IF(OR(Y17="",Y17=0),"",V17/Y17)</f>
        <v/>
      </c>
      <c r="AB17" s="22">
        <f>IF(OR(Y17="",Y17=0),"",IF((10-W17-X17)&lt;=0,"N/A",Z17/(10-W17-X17)))</f>
        <v/>
      </c>
      <c r="AC17" s="19">
        <f>IF(W17=0,"",ROUND((V17/W17)*10,0))</f>
        <v/>
      </c>
    </row>
    <row r="18">
      <c r="A18" s="18" t="inlineStr">
        <is>
          <t>John Joby</t>
        </is>
      </c>
      <c r="B18" s="19" t="n"/>
      <c r="C18" s="6" t="n"/>
      <c r="D18" s="19" t="n"/>
      <c r="E18" s="6" t="n"/>
      <c r="F18" s="19" t="n"/>
      <c r="G18" s="6" t="n"/>
      <c r="H18" s="19" t="n"/>
      <c r="I18" s="6" t="n"/>
      <c r="J18" s="19" t="n"/>
      <c r="K18" s="6" t="n"/>
      <c r="L18" s="19" t="n"/>
      <c r="M18" s="6" t="n"/>
      <c r="N18" s="19" t="n"/>
      <c r="O18" s="6" t="n"/>
      <c r="P18" s="19" t="n"/>
      <c r="Q18" s="6" t="n"/>
      <c r="R18" s="19" t="n"/>
      <c r="S18" s="6" t="n"/>
      <c r="T18" s="19" t="n"/>
      <c r="U18" s="6" t="n"/>
      <c r="V18" s="20">
        <f>SUM(B18,D18,F18,H18,J18,L18,N18,P18,R18,T18)</f>
        <v/>
      </c>
      <c r="W18" s="19">
        <f>COUNTIF(C18,"P")+COUNTIF(E18,"P")+COUNTIF(G18,"P")+COUNTIF(I18,"P")+COUNTIF(K18,"P")+COUNTIF(M18,"P")+COUNTIF(O18,"P")+COUNTIF(Q18,"P")+COUNTIF(S18,"P")+COUNTIF(U18,"P")</f>
        <v/>
      </c>
      <c r="X18" s="19">
        <f>COUNTIF(C18,"A")+COUNTIF(E18,"A")+COUNTIF(G18,"A")+COUNTIF(I18,"A")+COUNTIF(K18,"A")+COUNTIF(M18,"A")+COUNTIF(O18,"A")+COUNTIF(Q18,"A")+COUNTIF(S18,"A")+COUNTIF(U18,"A")</f>
        <v/>
      </c>
      <c r="Y18" s="19" t="n"/>
      <c r="Z18" s="19">
        <f>IF(Y18="","",Y18-V18)</f>
        <v/>
      </c>
      <c r="AA18" s="21">
        <f>IF(OR(Y18="",Y18=0),"",V18/Y18)</f>
        <v/>
      </c>
      <c r="AB18" s="22">
        <f>IF(OR(Y18="",Y18=0),"",IF((10-W18-X18)&lt;=0,"N/A",Z18/(10-W18-X18)))</f>
        <v/>
      </c>
      <c r="AC18" s="19">
        <f>IF(W18=0,"",ROUND((V18/W18)*10,0))</f>
        <v/>
      </c>
    </row>
    <row r="19">
      <c r="A19" s="18" t="inlineStr">
        <is>
          <t>Jason Bean</t>
        </is>
      </c>
      <c r="B19" s="19" t="n"/>
      <c r="C19" s="6" t="n"/>
      <c r="D19" s="19" t="n"/>
      <c r="E19" s="6" t="n"/>
      <c r="F19" s="19" t="n"/>
      <c r="G19" s="6" t="n"/>
      <c r="H19" s="19" t="n"/>
      <c r="I19" s="6" t="n"/>
      <c r="J19" s="19" t="n"/>
      <c r="K19" s="6" t="n"/>
      <c r="L19" s="19" t="n"/>
      <c r="M19" s="6" t="n"/>
      <c r="N19" s="19" t="n"/>
      <c r="O19" s="6" t="n"/>
      <c r="P19" s="19" t="n"/>
      <c r="Q19" s="6" t="n"/>
      <c r="R19" s="19" t="n"/>
      <c r="S19" s="6" t="n"/>
      <c r="T19" s="19" t="n"/>
      <c r="U19" s="6" t="n"/>
      <c r="V19" s="20">
        <f>SUM(B19,D19,F19,H19,J19,L19,N19,P19,R19,T19)</f>
        <v/>
      </c>
      <c r="W19" s="19">
        <f>COUNTIF(C19,"P")+COUNTIF(E19,"P")+COUNTIF(G19,"P")+COUNTIF(I19,"P")+COUNTIF(K19,"P")+COUNTIF(M19,"P")+COUNTIF(O19,"P")+COUNTIF(Q19,"P")+COUNTIF(S19,"P")+COUNTIF(U19,"P")</f>
        <v/>
      </c>
      <c r="X19" s="19">
        <f>COUNTIF(C19,"A")+COUNTIF(E19,"A")+COUNTIF(G19,"A")+COUNTIF(I19,"A")+COUNTIF(K19,"A")+COUNTIF(M19,"A")+COUNTIF(O19,"A")+COUNTIF(Q19,"A")+COUNTIF(S19,"A")+COUNTIF(U19,"A")</f>
        <v/>
      </c>
      <c r="Y19" s="19" t="n"/>
      <c r="Z19" s="19">
        <f>IF(Y19="","",Y19-V19)</f>
        <v/>
      </c>
      <c r="AA19" s="21">
        <f>IF(OR(Y19="",Y19=0),"",V19/Y19)</f>
        <v/>
      </c>
      <c r="AB19" s="22">
        <f>IF(OR(Y19="",Y19=0),"",IF((10-W19-X19)&lt;=0,"N/A",Z19/(10-W19-X19)))</f>
        <v/>
      </c>
      <c r="AC19" s="19">
        <f>IF(W19=0,"",ROUND((V19/W19)*10,0))</f>
        <v/>
      </c>
    </row>
    <row r="22">
      <c r="A22" s="25" t="inlineStr">
        <is>
          <t>Q2 — Quarter 2</t>
        </is>
      </c>
    </row>
    <row r="23">
      <c r="A23" s="17" t="inlineStr">
        <is>
          <t>Student Name</t>
        </is>
      </c>
      <c r="B23" s="17" t="inlineStr">
        <is>
          <t>Sess 1</t>
        </is>
      </c>
      <c r="C23" s="17" t="inlineStr">
        <is>
          <t>Att 1</t>
        </is>
      </c>
      <c r="D23" s="17" t="inlineStr">
        <is>
          <t>Sess 2</t>
        </is>
      </c>
      <c r="E23" s="17" t="inlineStr">
        <is>
          <t>Att 2</t>
        </is>
      </c>
      <c r="F23" s="17" t="inlineStr">
        <is>
          <t>Sess 3</t>
        </is>
      </c>
      <c r="G23" s="17" t="inlineStr">
        <is>
          <t>Att 3</t>
        </is>
      </c>
      <c r="H23" s="17" t="inlineStr">
        <is>
          <t>Sess 4</t>
        </is>
      </c>
      <c r="I23" s="17" t="inlineStr">
        <is>
          <t>Att 4</t>
        </is>
      </c>
      <c r="J23" s="17" t="inlineStr">
        <is>
          <t>Sess 5</t>
        </is>
      </c>
      <c r="K23" s="17" t="inlineStr">
        <is>
          <t>Att 5</t>
        </is>
      </c>
      <c r="L23" s="17" t="inlineStr">
        <is>
          <t>Sess 6</t>
        </is>
      </c>
      <c r="M23" s="17" t="inlineStr">
        <is>
          <t>Att 6</t>
        </is>
      </c>
      <c r="N23" s="17" t="inlineStr">
        <is>
          <t>Sess 7</t>
        </is>
      </c>
      <c r="O23" s="17" t="inlineStr">
        <is>
          <t>Att 7</t>
        </is>
      </c>
      <c r="P23" s="17" t="inlineStr">
        <is>
          <t>Sess 8</t>
        </is>
      </c>
      <c r="Q23" s="17" t="inlineStr">
        <is>
          <t>Att 8</t>
        </is>
      </c>
      <c r="R23" s="17" t="inlineStr">
        <is>
          <t>Sess 9</t>
        </is>
      </c>
      <c r="S23" s="17" t="inlineStr">
        <is>
          <t>Att 9</t>
        </is>
      </c>
      <c r="T23" s="17" t="inlineStr">
        <is>
          <t>Sess 10</t>
        </is>
      </c>
      <c r="U23" s="17" t="inlineStr">
        <is>
          <t>Att 10</t>
        </is>
      </c>
      <c r="V23" s="17" t="inlineStr">
        <is>
          <t>Min Met</t>
        </is>
      </c>
      <c r="W23" s="17" t="inlineStr">
        <is>
          <t>Sess Att</t>
        </is>
      </c>
      <c r="X23" s="17" t="inlineStr">
        <is>
          <t>Absences</t>
        </is>
      </c>
      <c r="Y23" s="17" t="inlineStr">
        <is>
          <t>IEP Req</t>
        </is>
      </c>
      <c r="Z23" s="17" t="inlineStr">
        <is>
          <t>Min Remain</t>
        </is>
      </c>
      <c r="AA23" s="17" t="inlineStr">
        <is>
          <t>% Complete</t>
        </is>
      </c>
      <c r="AB23" s="17" t="inlineStr">
        <is>
          <t>Pace Needed</t>
        </is>
      </c>
      <c r="AC23" s="17" t="inlineStr">
        <is>
          <t>Projected</t>
        </is>
      </c>
    </row>
    <row r="24">
      <c r="A24" s="18" t="inlineStr">
        <is>
          <t>Raya Hightower</t>
        </is>
      </c>
      <c r="B24" s="19" t="n"/>
      <c r="C24" s="6" t="n"/>
      <c r="D24" s="19" t="n"/>
      <c r="E24" s="6" t="n"/>
      <c r="F24" s="19" t="n"/>
      <c r="G24" s="6" t="n"/>
      <c r="H24" s="19" t="n"/>
      <c r="I24" s="6" t="n"/>
      <c r="J24" s="19" t="n"/>
      <c r="K24" s="6" t="n"/>
      <c r="L24" s="19" t="n"/>
      <c r="M24" s="6" t="n"/>
      <c r="N24" s="19" t="n"/>
      <c r="O24" s="6" t="n"/>
      <c r="P24" s="19" t="n"/>
      <c r="Q24" s="6" t="n"/>
      <c r="R24" s="19" t="n"/>
      <c r="S24" s="6" t="n"/>
      <c r="T24" s="19" t="n"/>
      <c r="U24" s="6" t="n"/>
      <c r="V24" s="20">
        <f>SUM(B24,D24,F24,H24,J24,L24,N24,P24,R24,T24)</f>
        <v/>
      </c>
      <c r="W24" s="19">
        <f>COUNTIF(C24,"P")+COUNTIF(E24,"P")+COUNTIF(G24,"P")+COUNTIF(I24,"P")+COUNTIF(K24,"P")+COUNTIF(M24,"P")+COUNTIF(O24,"P")+COUNTIF(Q24,"P")+COUNTIF(S24,"P")+COUNTIF(U24,"P")</f>
        <v/>
      </c>
      <c r="X24" s="19">
        <f>COUNTIF(C24,"A")+COUNTIF(E24,"A")+COUNTIF(G24,"A")+COUNTIF(I24,"A")+COUNTIF(K24,"A")+COUNTIF(M24,"A")+COUNTIF(O24,"A")+COUNTIF(Q24,"A")+COUNTIF(S24,"A")+COUNTIF(U24,"A")</f>
        <v/>
      </c>
      <c r="Y24" s="19" t="n"/>
      <c r="Z24" s="19">
        <f>IF(Y24="","",Y24-V24)</f>
        <v/>
      </c>
      <c r="AA24" s="21">
        <f>IF(OR(Y24="",Y24=0),"",V24/Y24)</f>
        <v/>
      </c>
      <c r="AB24" s="22">
        <f>IF(OR(Y24="",Y24=0),"",IF((10-W24-X24)&lt;=0,"N/A",Z24/(10-W24-X24)))</f>
        <v/>
      </c>
      <c r="AC24" s="19">
        <f>IF(W24=0,"",ROUND((V24/W24)*10,0))</f>
        <v/>
      </c>
    </row>
    <row r="25">
      <c r="A25" s="18" t="inlineStr">
        <is>
          <t>Anu Vijay Anand</t>
        </is>
      </c>
      <c r="B25" s="19" t="n"/>
      <c r="C25" s="6" t="n"/>
      <c r="D25" s="19" t="n"/>
      <c r="E25" s="6" t="n"/>
      <c r="F25" s="19" t="n"/>
      <c r="G25" s="6" t="n"/>
      <c r="H25" s="19" t="n"/>
      <c r="I25" s="6" t="n"/>
      <c r="J25" s="19" t="n"/>
      <c r="K25" s="6" t="n"/>
      <c r="L25" s="19" t="n"/>
      <c r="M25" s="6" t="n"/>
      <c r="N25" s="19" t="n"/>
      <c r="O25" s="6" t="n"/>
      <c r="P25" s="19" t="n"/>
      <c r="Q25" s="6" t="n"/>
      <c r="R25" s="19" t="n"/>
      <c r="S25" s="6" t="n"/>
      <c r="T25" s="19" t="n"/>
      <c r="U25" s="6" t="n"/>
      <c r="V25" s="20">
        <f>SUM(B25,D25,F25,H25,J25,L25,N25,P25,R25,T25)</f>
        <v/>
      </c>
      <c r="W25" s="19">
        <f>COUNTIF(C25,"P")+COUNTIF(E25,"P")+COUNTIF(G25,"P")+COUNTIF(I25,"P")+COUNTIF(K25,"P")+COUNTIF(M25,"P")+COUNTIF(O25,"P")+COUNTIF(Q25,"P")+COUNTIF(S25,"P")+COUNTIF(U25,"P")</f>
        <v/>
      </c>
      <c r="X25" s="19">
        <f>COUNTIF(C25,"A")+COUNTIF(E25,"A")+COUNTIF(G25,"A")+COUNTIF(I25,"A")+COUNTIF(K25,"A")+COUNTIF(M25,"A")+COUNTIF(O25,"A")+COUNTIF(Q25,"A")+COUNTIF(S25,"A")+COUNTIF(U25,"A")</f>
        <v/>
      </c>
      <c r="Y25" s="19" t="n"/>
      <c r="Z25" s="19">
        <f>IF(Y25="","",Y25-V25)</f>
        <v/>
      </c>
      <c r="AA25" s="21">
        <f>IF(OR(Y25="",Y25=0),"",V25/Y25)</f>
        <v/>
      </c>
      <c r="AB25" s="22">
        <f>IF(OR(Y25="",Y25=0),"",IF((10-W25-X25)&lt;=0,"N/A",Z25/(10-W25-X25)))</f>
        <v/>
      </c>
      <c r="AC25" s="19">
        <f>IF(W25=0,"",ROUND((V25/W25)*10,0))</f>
        <v/>
      </c>
    </row>
    <row r="26">
      <c r="A26" s="18" t="inlineStr">
        <is>
          <t>Aadhya Gone</t>
        </is>
      </c>
      <c r="B26" s="19" t="n"/>
      <c r="C26" s="6" t="n"/>
      <c r="D26" s="19" t="n"/>
      <c r="E26" s="6" t="n"/>
      <c r="F26" s="19" t="n"/>
      <c r="G26" s="6" t="n"/>
      <c r="H26" s="19" t="n"/>
      <c r="I26" s="6" t="n"/>
      <c r="J26" s="19" t="n"/>
      <c r="K26" s="6" t="n"/>
      <c r="L26" s="19" t="n"/>
      <c r="M26" s="6" t="n"/>
      <c r="N26" s="19" t="n"/>
      <c r="O26" s="6" t="n"/>
      <c r="P26" s="19" t="n"/>
      <c r="Q26" s="6" t="n"/>
      <c r="R26" s="19" t="n"/>
      <c r="S26" s="6" t="n"/>
      <c r="T26" s="19" t="n"/>
      <c r="U26" s="6" t="n"/>
      <c r="V26" s="20">
        <f>SUM(B26,D26,F26,H26,J26,L26,N26,P26,R26,T26)</f>
        <v/>
      </c>
      <c r="W26" s="19">
        <f>COUNTIF(C26,"P")+COUNTIF(E26,"P")+COUNTIF(G26,"P")+COUNTIF(I26,"P")+COUNTIF(K26,"P")+COUNTIF(M26,"P")+COUNTIF(O26,"P")+COUNTIF(Q26,"P")+COUNTIF(S26,"P")+COUNTIF(U26,"P")</f>
        <v/>
      </c>
      <c r="X26" s="19">
        <f>COUNTIF(C26,"A")+COUNTIF(E26,"A")+COUNTIF(G26,"A")+COUNTIF(I26,"A")+COUNTIF(K26,"A")+COUNTIF(M26,"A")+COUNTIF(O26,"A")+COUNTIF(Q26,"A")+COUNTIF(S26,"A")+COUNTIF(U26,"A")</f>
        <v/>
      </c>
      <c r="Y26" s="19" t="n"/>
      <c r="Z26" s="19">
        <f>IF(Y26="","",Y26-V26)</f>
        <v/>
      </c>
      <c r="AA26" s="21">
        <f>IF(OR(Y26="",Y26=0),"",V26/Y26)</f>
        <v/>
      </c>
      <c r="AB26" s="22">
        <f>IF(OR(Y26="",Y26=0),"",IF((10-W26-X26)&lt;=0,"N/A",Z26/(10-W26-X26)))</f>
        <v/>
      </c>
      <c r="AC26" s="19">
        <f>IF(W26=0,"",ROUND((V26/W26)*10,0))</f>
        <v/>
      </c>
    </row>
    <row r="27">
      <c r="A27" s="18" t="inlineStr">
        <is>
          <t>Sumeyah Khan</t>
        </is>
      </c>
      <c r="B27" s="19" t="n"/>
      <c r="C27" s="6" t="n"/>
      <c r="D27" s="19" t="n"/>
      <c r="E27" s="6" t="n"/>
      <c r="F27" s="19" t="n"/>
      <c r="G27" s="6" t="n"/>
      <c r="H27" s="19" t="n"/>
      <c r="I27" s="6" t="n"/>
      <c r="J27" s="19" t="n"/>
      <c r="K27" s="6" t="n"/>
      <c r="L27" s="19" t="n"/>
      <c r="M27" s="6" t="n"/>
      <c r="N27" s="19" t="n"/>
      <c r="O27" s="6" t="n"/>
      <c r="P27" s="19" t="n"/>
      <c r="Q27" s="6" t="n"/>
      <c r="R27" s="19" t="n"/>
      <c r="S27" s="6" t="n"/>
      <c r="T27" s="19" t="n"/>
      <c r="U27" s="6" t="n"/>
      <c r="V27" s="20">
        <f>SUM(B27,D27,F27,H27,J27,L27,N27,P27,R27,T27)</f>
        <v/>
      </c>
      <c r="W27" s="19">
        <f>COUNTIF(C27,"P")+COUNTIF(E27,"P")+COUNTIF(G27,"P")+COUNTIF(I27,"P")+COUNTIF(K27,"P")+COUNTIF(M27,"P")+COUNTIF(O27,"P")+COUNTIF(Q27,"P")+COUNTIF(S27,"P")+COUNTIF(U27,"P")</f>
        <v/>
      </c>
      <c r="X27" s="19">
        <f>COUNTIF(C27,"A")+COUNTIF(E27,"A")+COUNTIF(G27,"A")+COUNTIF(I27,"A")+COUNTIF(K27,"A")+COUNTIF(M27,"A")+COUNTIF(O27,"A")+COUNTIF(Q27,"A")+COUNTIF(S27,"A")+COUNTIF(U27,"A")</f>
        <v/>
      </c>
      <c r="Y27" s="19" t="n"/>
      <c r="Z27" s="19">
        <f>IF(Y27="","",Y27-V27)</f>
        <v/>
      </c>
      <c r="AA27" s="21">
        <f>IF(OR(Y27="",Y27=0),"",V27/Y27)</f>
        <v/>
      </c>
      <c r="AB27" s="22">
        <f>IF(OR(Y27="",Y27=0),"",IF((10-W27-X27)&lt;=0,"N/A",Z27/(10-W27-X27)))</f>
        <v/>
      </c>
      <c r="AC27" s="19">
        <f>IF(W27=0,"",ROUND((V27/W27)*10,0))</f>
        <v/>
      </c>
    </row>
    <row r="28">
      <c r="A28" s="18" t="inlineStr">
        <is>
          <t>Maria Mujeeb</t>
        </is>
      </c>
      <c r="B28" s="19" t="n"/>
      <c r="C28" s="6" t="n"/>
      <c r="D28" s="19" t="n"/>
      <c r="E28" s="6" t="n"/>
      <c r="F28" s="19" t="n"/>
      <c r="G28" s="6" t="n"/>
      <c r="H28" s="19" t="n"/>
      <c r="I28" s="6" t="n"/>
      <c r="J28" s="19" t="n"/>
      <c r="K28" s="6" t="n"/>
      <c r="L28" s="19" t="n"/>
      <c r="M28" s="6" t="n"/>
      <c r="N28" s="19" t="n"/>
      <c r="O28" s="6" t="n"/>
      <c r="P28" s="19" t="n"/>
      <c r="Q28" s="6" t="n"/>
      <c r="R28" s="19" t="n"/>
      <c r="S28" s="6" t="n"/>
      <c r="T28" s="19" t="n"/>
      <c r="U28" s="6" t="n"/>
      <c r="V28" s="20">
        <f>SUM(B28,D28,F28,H28,J28,L28,N28,P28,R28,T28)</f>
        <v/>
      </c>
      <c r="W28" s="19">
        <f>COUNTIF(C28,"P")+COUNTIF(E28,"P")+COUNTIF(G28,"P")+COUNTIF(I28,"P")+COUNTIF(K28,"P")+COUNTIF(M28,"P")+COUNTIF(O28,"P")+COUNTIF(Q28,"P")+COUNTIF(S28,"P")+COUNTIF(U28,"P")</f>
        <v/>
      </c>
      <c r="X28" s="19">
        <f>COUNTIF(C28,"A")+COUNTIF(E28,"A")+COUNTIF(G28,"A")+COUNTIF(I28,"A")+COUNTIF(K28,"A")+COUNTIF(M28,"A")+COUNTIF(O28,"A")+COUNTIF(Q28,"A")+COUNTIF(S28,"A")+COUNTIF(U28,"A")</f>
        <v/>
      </c>
      <c r="Y28" s="19" t="n"/>
      <c r="Z28" s="19">
        <f>IF(Y28="","",Y28-V28)</f>
        <v/>
      </c>
      <c r="AA28" s="21">
        <f>IF(OR(Y28="",Y28=0),"",V28/Y28)</f>
        <v/>
      </c>
      <c r="AB28" s="22">
        <f>IF(OR(Y28="",Y28=0),"",IF((10-W28-X28)&lt;=0,"N/A",Z28/(10-W28-X28)))</f>
        <v/>
      </c>
      <c r="AC28" s="19">
        <f>IF(W28=0,"",ROUND((V28/W28)*10,0))</f>
        <v/>
      </c>
    </row>
    <row r="29">
      <c r="A29" s="18" t="inlineStr">
        <is>
          <t>Jace Ratliff</t>
        </is>
      </c>
      <c r="B29" s="19" t="n"/>
      <c r="C29" s="6" t="n"/>
      <c r="D29" s="19" t="n"/>
      <c r="E29" s="6" t="n"/>
      <c r="F29" s="19" t="n"/>
      <c r="G29" s="6" t="n"/>
      <c r="H29" s="19" t="n"/>
      <c r="I29" s="6" t="n"/>
      <c r="J29" s="19" t="n"/>
      <c r="K29" s="6" t="n"/>
      <c r="L29" s="19" t="n"/>
      <c r="M29" s="6" t="n"/>
      <c r="N29" s="19" t="n"/>
      <c r="O29" s="6" t="n"/>
      <c r="P29" s="19" t="n"/>
      <c r="Q29" s="6" t="n"/>
      <c r="R29" s="19" t="n"/>
      <c r="S29" s="6" t="n"/>
      <c r="T29" s="19" t="n"/>
      <c r="U29" s="6" t="n"/>
      <c r="V29" s="20">
        <f>SUM(B29,D29,F29,H29,J29,L29,N29,P29,R29,T29)</f>
        <v/>
      </c>
      <c r="W29" s="19">
        <f>COUNTIF(C29,"P")+COUNTIF(E29,"P")+COUNTIF(G29,"P")+COUNTIF(I29,"P")+COUNTIF(K29,"P")+COUNTIF(M29,"P")+COUNTIF(O29,"P")+COUNTIF(Q29,"P")+COUNTIF(S29,"P")+COUNTIF(U29,"P")</f>
        <v/>
      </c>
      <c r="X29" s="19">
        <f>COUNTIF(C29,"A")+COUNTIF(E29,"A")+COUNTIF(G29,"A")+COUNTIF(I29,"A")+COUNTIF(K29,"A")+COUNTIF(M29,"A")+COUNTIF(O29,"A")+COUNTIF(Q29,"A")+COUNTIF(S29,"A")+COUNTIF(U29,"A")</f>
        <v/>
      </c>
      <c r="Y29" s="19" t="n"/>
      <c r="Z29" s="19">
        <f>IF(Y29="","",Y29-V29)</f>
        <v/>
      </c>
      <c r="AA29" s="21">
        <f>IF(OR(Y29="",Y29=0),"",V29/Y29)</f>
        <v/>
      </c>
      <c r="AB29" s="22">
        <f>IF(OR(Y29="",Y29=0),"",IF((10-W29-X29)&lt;=0,"N/A",Z29/(10-W29-X29)))</f>
        <v/>
      </c>
      <c r="AC29" s="19">
        <f>IF(W29=0,"",ROUND((V29/W29)*10,0))</f>
        <v/>
      </c>
    </row>
    <row r="30">
      <c r="A30" s="18" t="inlineStr">
        <is>
          <t>Evan Allen</t>
        </is>
      </c>
      <c r="B30" s="19" t="n"/>
      <c r="C30" s="6" t="n"/>
      <c r="D30" s="19" t="n"/>
      <c r="E30" s="6" t="n"/>
      <c r="F30" s="19" t="n"/>
      <c r="G30" s="6" t="n"/>
      <c r="H30" s="19" t="n"/>
      <c r="I30" s="6" t="n"/>
      <c r="J30" s="19" t="n"/>
      <c r="K30" s="6" t="n"/>
      <c r="L30" s="19" t="n"/>
      <c r="M30" s="6" t="n"/>
      <c r="N30" s="19" t="n"/>
      <c r="O30" s="6" t="n"/>
      <c r="P30" s="19" t="n"/>
      <c r="Q30" s="6" t="n"/>
      <c r="R30" s="19" t="n"/>
      <c r="S30" s="6" t="n"/>
      <c r="T30" s="19" t="n"/>
      <c r="U30" s="6" t="n"/>
      <c r="V30" s="20">
        <f>SUM(B30,D30,F30,H30,J30,L30,N30,P30,R30,T30)</f>
        <v/>
      </c>
      <c r="W30" s="19">
        <f>COUNTIF(C30,"P")+COUNTIF(E30,"P")+COUNTIF(G30,"P")+COUNTIF(I30,"P")+COUNTIF(K30,"P")+COUNTIF(M30,"P")+COUNTIF(O30,"P")+COUNTIF(Q30,"P")+COUNTIF(S30,"P")+COUNTIF(U30,"P")</f>
        <v/>
      </c>
      <c r="X30" s="19">
        <f>COUNTIF(C30,"A")+COUNTIF(E30,"A")+COUNTIF(G30,"A")+COUNTIF(I30,"A")+COUNTIF(K30,"A")+COUNTIF(M30,"A")+COUNTIF(O30,"A")+COUNTIF(Q30,"A")+COUNTIF(S30,"A")+COUNTIF(U30,"A")</f>
        <v/>
      </c>
      <c r="Y30" s="19" t="n"/>
      <c r="Z30" s="19">
        <f>IF(Y30="","",Y30-V30)</f>
        <v/>
      </c>
      <c r="AA30" s="21">
        <f>IF(OR(Y30="",Y30=0),"",V30/Y30)</f>
        <v/>
      </c>
      <c r="AB30" s="22">
        <f>IF(OR(Y30="",Y30=0),"",IF((10-W30-X30)&lt;=0,"N/A",Z30/(10-W30-X30)))</f>
        <v/>
      </c>
      <c r="AC30" s="19">
        <f>IF(W30=0,"",ROUND((V30/W30)*10,0))</f>
        <v/>
      </c>
    </row>
    <row r="31">
      <c r="A31" s="18" t="inlineStr">
        <is>
          <t>Sai Neelagiri</t>
        </is>
      </c>
      <c r="B31" s="19" t="n"/>
      <c r="C31" s="6" t="n"/>
      <c r="D31" s="19" t="n"/>
      <c r="E31" s="6" t="n"/>
      <c r="F31" s="19" t="n"/>
      <c r="G31" s="6" t="n"/>
      <c r="H31" s="19" t="n"/>
      <c r="I31" s="6" t="n"/>
      <c r="J31" s="19" t="n"/>
      <c r="K31" s="6" t="n"/>
      <c r="L31" s="19" t="n"/>
      <c r="M31" s="6" t="n"/>
      <c r="N31" s="19" t="n"/>
      <c r="O31" s="6" t="n"/>
      <c r="P31" s="19" t="n"/>
      <c r="Q31" s="6" t="n"/>
      <c r="R31" s="19" t="n"/>
      <c r="S31" s="6" t="n"/>
      <c r="T31" s="19" t="n"/>
      <c r="U31" s="6" t="n"/>
      <c r="V31" s="20">
        <f>SUM(B31,D31,F31,H31,J31,L31,N31,P31,R31,T31)</f>
        <v/>
      </c>
      <c r="W31" s="19">
        <f>COUNTIF(C31,"P")+COUNTIF(E31,"P")+COUNTIF(G31,"P")+COUNTIF(I31,"P")+COUNTIF(K31,"P")+COUNTIF(M31,"P")+COUNTIF(O31,"P")+COUNTIF(Q31,"P")+COUNTIF(S31,"P")+COUNTIF(U31,"P")</f>
        <v/>
      </c>
      <c r="X31" s="19">
        <f>COUNTIF(C31,"A")+COUNTIF(E31,"A")+COUNTIF(G31,"A")+COUNTIF(I31,"A")+COUNTIF(K31,"A")+COUNTIF(M31,"A")+COUNTIF(O31,"A")+COUNTIF(Q31,"A")+COUNTIF(S31,"A")+COUNTIF(U31,"A")</f>
        <v/>
      </c>
      <c r="Y31" s="19" t="n"/>
      <c r="Z31" s="19">
        <f>IF(Y31="","",Y31-V31)</f>
        <v/>
      </c>
      <c r="AA31" s="21">
        <f>IF(OR(Y31="",Y31=0),"",V31/Y31)</f>
        <v/>
      </c>
      <c r="AB31" s="22">
        <f>IF(OR(Y31="",Y31=0),"",IF((10-W31-X31)&lt;=0,"N/A",Z31/(10-W31-X31)))</f>
        <v/>
      </c>
      <c r="AC31" s="19">
        <f>IF(W31=0,"",ROUND((V31/W31)*10,0))</f>
        <v/>
      </c>
    </row>
    <row r="32">
      <c r="A32" s="18" t="inlineStr">
        <is>
          <t>Fletcher Meese</t>
        </is>
      </c>
      <c r="B32" s="19" t="n"/>
      <c r="C32" s="6" t="n"/>
      <c r="D32" s="19" t="n"/>
      <c r="E32" s="6" t="n"/>
      <c r="F32" s="19" t="n"/>
      <c r="G32" s="6" t="n"/>
      <c r="H32" s="19" t="n"/>
      <c r="I32" s="6" t="n"/>
      <c r="J32" s="19" t="n"/>
      <c r="K32" s="6" t="n"/>
      <c r="L32" s="19" t="n"/>
      <c r="M32" s="6" t="n"/>
      <c r="N32" s="19" t="n"/>
      <c r="O32" s="6" t="n"/>
      <c r="P32" s="19" t="n"/>
      <c r="Q32" s="6" t="n"/>
      <c r="R32" s="19" t="n"/>
      <c r="S32" s="6" t="n"/>
      <c r="T32" s="19" t="n"/>
      <c r="U32" s="6" t="n"/>
      <c r="V32" s="20">
        <f>SUM(B32,D32,F32,H32,J32,L32,N32,P32,R32,T32)</f>
        <v/>
      </c>
      <c r="W32" s="19">
        <f>COUNTIF(C32,"P")+COUNTIF(E32,"P")+COUNTIF(G32,"P")+COUNTIF(I32,"P")+COUNTIF(K32,"P")+COUNTIF(M32,"P")+COUNTIF(O32,"P")+COUNTIF(Q32,"P")+COUNTIF(S32,"P")+COUNTIF(U32,"P")</f>
        <v/>
      </c>
      <c r="X32" s="19">
        <f>COUNTIF(C32,"A")+COUNTIF(E32,"A")+COUNTIF(G32,"A")+COUNTIF(I32,"A")+COUNTIF(K32,"A")+COUNTIF(M32,"A")+COUNTIF(O32,"A")+COUNTIF(Q32,"A")+COUNTIF(S32,"A")+COUNTIF(U32,"A")</f>
        <v/>
      </c>
      <c r="Y32" s="19" t="n"/>
      <c r="Z32" s="19">
        <f>IF(Y32="","",Y32-V32)</f>
        <v/>
      </c>
      <c r="AA32" s="21">
        <f>IF(OR(Y32="",Y32=0),"",V32/Y32)</f>
        <v/>
      </c>
      <c r="AB32" s="22">
        <f>IF(OR(Y32="",Y32=0),"",IF((10-W32-X32)&lt;=0,"N/A",Z32/(10-W32-X32)))</f>
        <v/>
      </c>
      <c r="AC32" s="19">
        <f>IF(W32=0,"",ROUND((V32/W32)*10,0))</f>
        <v/>
      </c>
    </row>
    <row r="33">
      <c r="A33" s="18" t="inlineStr">
        <is>
          <t>Elijah Aldaco</t>
        </is>
      </c>
      <c r="B33" s="19" t="n"/>
      <c r="C33" s="6" t="n"/>
      <c r="D33" s="19" t="n"/>
      <c r="E33" s="6" t="n"/>
      <c r="F33" s="19" t="n"/>
      <c r="G33" s="6" t="n"/>
      <c r="H33" s="19" t="n"/>
      <c r="I33" s="6" t="n"/>
      <c r="J33" s="19" t="n"/>
      <c r="K33" s="6" t="n"/>
      <c r="L33" s="19" t="n"/>
      <c r="M33" s="6" t="n"/>
      <c r="N33" s="19" t="n"/>
      <c r="O33" s="6" t="n"/>
      <c r="P33" s="19" t="n"/>
      <c r="Q33" s="6" t="n"/>
      <c r="R33" s="19" t="n"/>
      <c r="S33" s="6" t="n"/>
      <c r="T33" s="19" t="n"/>
      <c r="U33" s="6" t="n"/>
      <c r="V33" s="20">
        <f>SUM(B33,D33,F33,H33,J33,L33,N33,P33,R33,T33)</f>
        <v/>
      </c>
      <c r="W33" s="19">
        <f>COUNTIF(C33,"P")+COUNTIF(E33,"P")+COUNTIF(G33,"P")+COUNTIF(I33,"P")+COUNTIF(K33,"P")+COUNTIF(M33,"P")+COUNTIF(O33,"P")+COUNTIF(Q33,"P")+COUNTIF(S33,"P")+COUNTIF(U33,"P")</f>
        <v/>
      </c>
      <c r="X33" s="19">
        <f>COUNTIF(C33,"A")+COUNTIF(E33,"A")+COUNTIF(G33,"A")+COUNTIF(I33,"A")+COUNTIF(K33,"A")+COUNTIF(M33,"A")+COUNTIF(O33,"A")+COUNTIF(Q33,"A")+COUNTIF(S33,"A")+COUNTIF(U33,"A")</f>
        <v/>
      </c>
      <c r="Y33" s="19" t="n"/>
      <c r="Z33" s="19">
        <f>IF(Y33="","",Y33-V33)</f>
        <v/>
      </c>
      <c r="AA33" s="21">
        <f>IF(OR(Y33="",Y33=0),"",V33/Y33)</f>
        <v/>
      </c>
      <c r="AB33" s="22">
        <f>IF(OR(Y33="",Y33=0),"",IF((10-W33-X33)&lt;=0,"N/A",Z33/(10-W33-X33)))</f>
        <v/>
      </c>
      <c r="AC33" s="19">
        <f>IF(W33=0,"",ROUND((V33/W33)*10,0))</f>
        <v/>
      </c>
    </row>
    <row r="34">
      <c r="A34" s="18" t="inlineStr">
        <is>
          <t>Cain Gutierrez</t>
        </is>
      </c>
      <c r="B34" s="19" t="n"/>
      <c r="C34" s="6" t="n"/>
      <c r="D34" s="19" t="n"/>
      <c r="E34" s="6" t="n"/>
      <c r="F34" s="19" t="n"/>
      <c r="G34" s="6" t="n"/>
      <c r="H34" s="19" t="n"/>
      <c r="I34" s="6" t="n"/>
      <c r="J34" s="19" t="n"/>
      <c r="K34" s="6" t="n"/>
      <c r="L34" s="19" t="n"/>
      <c r="M34" s="6" t="n"/>
      <c r="N34" s="19" t="n"/>
      <c r="O34" s="6" t="n"/>
      <c r="P34" s="19" t="n"/>
      <c r="Q34" s="6" t="n"/>
      <c r="R34" s="19" t="n"/>
      <c r="S34" s="6" t="n"/>
      <c r="T34" s="19" t="n"/>
      <c r="U34" s="6" t="n"/>
      <c r="V34" s="20">
        <f>SUM(B34,D34,F34,H34,J34,L34,N34,P34,R34,T34)</f>
        <v/>
      </c>
      <c r="W34" s="19">
        <f>COUNTIF(C34,"P")+COUNTIF(E34,"P")+COUNTIF(G34,"P")+COUNTIF(I34,"P")+COUNTIF(K34,"P")+COUNTIF(M34,"P")+COUNTIF(O34,"P")+COUNTIF(Q34,"P")+COUNTIF(S34,"P")+COUNTIF(U34,"P")</f>
        <v/>
      </c>
      <c r="X34" s="19">
        <f>COUNTIF(C34,"A")+COUNTIF(E34,"A")+COUNTIF(G34,"A")+COUNTIF(I34,"A")+COUNTIF(K34,"A")+COUNTIF(M34,"A")+COUNTIF(O34,"A")+COUNTIF(Q34,"A")+COUNTIF(S34,"A")+COUNTIF(U34,"A")</f>
        <v/>
      </c>
      <c r="Y34" s="19" t="n"/>
      <c r="Z34" s="19">
        <f>IF(Y34="","",Y34-V34)</f>
        <v/>
      </c>
      <c r="AA34" s="21">
        <f>IF(OR(Y34="",Y34=0),"",V34/Y34)</f>
        <v/>
      </c>
      <c r="AB34" s="22">
        <f>IF(OR(Y34="",Y34=0),"",IF((10-W34-X34)&lt;=0,"N/A",Z34/(10-W34-X34)))</f>
        <v/>
      </c>
      <c r="AC34" s="19">
        <f>IF(W34=0,"",ROUND((V34/W34)*10,0))</f>
        <v/>
      </c>
    </row>
    <row r="35">
      <c r="A35" s="18" t="inlineStr">
        <is>
          <t>Grayson Barnhart</t>
        </is>
      </c>
      <c r="B35" s="19" t="n"/>
      <c r="C35" s="6" t="n"/>
      <c r="D35" s="19" t="n"/>
      <c r="E35" s="6" t="n"/>
      <c r="F35" s="19" t="n"/>
      <c r="G35" s="6" t="n"/>
      <c r="H35" s="19" t="n"/>
      <c r="I35" s="6" t="n"/>
      <c r="J35" s="19" t="n"/>
      <c r="K35" s="6" t="n"/>
      <c r="L35" s="19" t="n"/>
      <c r="M35" s="6" t="n"/>
      <c r="N35" s="19" t="n"/>
      <c r="O35" s="6" t="n"/>
      <c r="P35" s="19" t="n"/>
      <c r="Q35" s="6" t="n"/>
      <c r="R35" s="19" t="n"/>
      <c r="S35" s="6" t="n"/>
      <c r="T35" s="19" t="n"/>
      <c r="U35" s="6" t="n"/>
      <c r="V35" s="20">
        <f>SUM(B35,D35,F35,H35,J35,L35,N35,P35,R35,T35)</f>
        <v/>
      </c>
      <c r="W35" s="19">
        <f>COUNTIF(C35,"P")+COUNTIF(E35,"P")+COUNTIF(G35,"P")+COUNTIF(I35,"P")+COUNTIF(K35,"P")+COUNTIF(M35,"P")+COUNTIF(O35,"P")+COUNTIF(Q35,"P")+COUNTIF(S35,"P")+COUNTIF(U35,"P")</f>
        <v/>
      </c>
      <c r="X35" s="19">
        <f>COUNTIF(C35,"A")+COUNTIF(E35,"A")+COUNTIF(G35,"A")+COUNTIF(I35,"A")+COUNTIF(K35,"A")+COUNTIF(M35,"A")+COUNTIF(O35,"A")+COUNTIF(Q35,"A")+COUNTIF(S35,"A")+COUNTIF(U35,"A")</f>
        <v/>
      </c>
      <c r="Y35" s="19" t="n"/>
      <c r="Z35" s="19">
        <f>IF(Y35="","",Y35-V35)</f>
        <v/>
      </c>
      <c r="AA35" s="21">
        <f>IF(OR(Y35="",Y35=0),"",V35/Y35)</f>
        <v/>
      </c>
      <c r="AB35" s="22">
        <f>IF(OR(Y35="",Y35=0),"",IF((10-W35-X35)&lt;=0,"N/A",Z35/(10-W35-X35)))</f>
        <v/>
      </c>
      <c r="AC35" s="19">
        <f>IF(W35=0,"",ROUND((V35/W35)*10,0))</f>
        <v/>
      </c>
    </row>
    <row r="36">
      <c r="A36" s="18" t="inlineStr">
        <is>
          <t>Abel Abraham</t>
        </is>
      </c>
      <c r="B36" s="19" t="n"/>
      <c r="C36" s="6" t="n"/>
      <c r="D36" s="19" t="n"/>
      <c r="E36" s="6" t="n"/>
      <c r="F36" s="19" t="n"/>
      <c r="G36" s="6" t="n"/>
      <c r="H36" s="19" t="n"/>
      <c r="I36" s="6" t="n"/>
      <c r="J36" s="19" t="n"/>
      <c r="K36" s="6" t="n"/>
      <c r="L36" s="19" t="n"/>
      <c r="M36" s="6" t="n"/>
      <c r="N36" s="19" t="n"/>
      <c r="O36" s="6" t="n"/>
      <c r="P36" s="19" t="n"/>
      <c r="Q36" s="6" t="n"/>
      <c r="R36" s="19" t="n"/>
      <c r="S36" s="6" t="n"/>
      <c r="T36" s="19" t="n"/>
      <c r="U36" s="6" t="n"/>
      <c r="V36" s="20">
        <f>SUM(B36,D36,F36,H36,J36,L36,N36,P36,R36,T36)</f>
        <v/>
      </c>
      <c r="W36" s="19">
        <f>COUNTIF(C36,"P")+COUNTIF(E36,"P")+COUNTIF(G36,"P")+COUNTIF(I36,"P")+COUNTIF(K36,"P")+COUNTIF(M36,"P")+COUNTIF(O36,"P")+COUNTIF(Q36,"P")+COUNTIF(S36,"P")+COUNTIF(U36,"P")</f>
        <v/>
      </c>
      <c r="X36" s="19">
        <f>COUNTIF(C36,"A")+COUNTIF(E36,"A")+COUNTIF(G36,"A")+COUNTIF(I36,"A")+COUNTIF(K36,"A")+COUNTIF(M36,"A")+COUNTIF(O36,"A")+COUNTIF(Q36,"A")+COUNTIF(S36,"A")+COUNTIF(U36,"A")</f>
        <v/>
      </c>
      <c r="Y36" s="19" t="n"/>
      <c r="Z36" s="19">
        <f>IF(Y36="","",Y36-V36)</f>
        <v/>
      </c>
      <c r="AA36" s="21">
        <f>IF(OR(Y36="",Y36=0),"",V36/Y36)</f>
        <v/>
      </c>
      <c r="AB36" s="22">
        <f>IF(OR(Y36="",Y36=0),"",IF((10-W36-X36)&lt;=0,"N/A",Z36/(10-W36-X36)))</f>
        <v/>
      </c>
      <c r="AC36" s="19">
        <f>IF(W36=0,"",ROUND((V36/W36)*10,0))</f>
        <v/>
      </c>
    </row>
    <row r="37">
      <c r="A37" s="18" t="inlineStr">
        <is>
          <t>John Joby</t>
        </is>
      </c>
      <c r="B37" s="19" t="n"/>
      <c r="C37" s="6" t="n"/>
      <c r="D37" s="19" t="n"/>
      <c r="E37" s="6" t="n"/>
      <c r="F37" s="19" t="n"/>
      <c r="G37" s="6" t="n"/>
      <c r="H37" s="19" t="n"/>
      <c r="I37" s="6" t="n"/>
      <c r="J37" s="19" t="n"/>
      <c r="K37" s="6" t="n"/>
      <c r="L37" s="19" t="n"/>
      <c r="M37" s="6" t="n"/>
      <c r="N37" s="19" t="n"/>
      <c r="O37" s="6" t="n"/>
      <c r="P37" s="19" t="n"/>
      <c r="Q37" s="6" t="n"/>
      <c r="R37" s="19" t="n"/>
      <c r="S37" s="6" t="n"/>
      <c r="T37" s="19" t="n"/>
      <c r="U37" s="6" t="n"/>
      <c r="V37" s="20">
        <f>SUM(B37,D37,F37,H37,J37,L37,N37,P37,R37,T37)</f>
        <v/>
      </c>
      <c r="W37" s="19">
        <f>COUNTIF(C37,"P")+COUNTIF(E37,"P")+COUNTIF(G37,"P")+COUNTIF(I37,"P")+COUNTIF(K37,"P")+COUNTIF(M37,"P")+COUNTIF(O37,"P")+COUNTIF(Q37,"P")+COUNTIF(S37,"P")+COUNTIF(U37,"P")</f>
        <v/>
      </c>
      <c r="X37" s="19">
        <f>COUNTIF(C37,"A")+COUNTIF(E37,"A")+COUNTIF(G37,"A")+COUNTIF(I37,"A")+COUNTIF(K37,"A")+COUNTIF(M37,"A")+COUNTIF(O37,"A")+COUNTIF(Q37,"A")+COUNTIF(S37,"A")+COUNTIF(U37,"A")</f>
        <v/>
      </c>
      <c r="Y37" s="19" t="n"/>
      <c r="Z37" s="19">
        <f>IF(Y37="","",Y37-V37)</f>
        <v/>
      </c>
      <c r="AA37" s="21">
        <f>IF(OR(Y37="",Y37=0),"",V37/Y37)</f>
        <v/>
      </c>
      <c r="AB37" s="22">
        <f>IF(OR(Y37="",Y37=0),"",IF((10-W37-X37)&lt;=0,"N/A",Z37/(10-W37-X37)))</f>
        <v/>
      </c>
      <c r="AC37" s="19">
        <f>IF(W37=0,"",ROUND((V37/W37)*10,0))</f>
        <v/>
      </c>
    </row>
    <row r="38">
      <c r="A38" s="18" t="inlineStr">
        <is>
          <t>Jason Bean</t>
        </is>
      </c>
      <c r="B38" s="19" t="n"/>
      <c r="C38" s="6" t="n"/>
      <c r="D38" s="19" t="n"/>
      <c r="E38" s="6" t="n"/>
      <c r="F38" s="19" t="n"/>
      <c r="G38" s="6" t="n"/>
      <c r="H38" s="19" t="n"/>
      <c r="I38" s="6" t="n"/>
      <c r="J38" s="19" t="n"/>
      <c r="K38" s="6" t="n"/>
      <c r="L38" s="19" t="n"/>
      <c r="M38" s="6" t="n"/>
      <c r="N38" s="19" t="n"/>
      <c r="O38" s="6" t="n"/>
      <c r="P38" s="19" t="n"/>
      <c r="Q38" s="6" t="n"/>
      <c r="R38" s="19" t="n"/>
      <c r="S38" s="6" t="n"/>
      <c r="T38" s="19" t="n"/>
      <c r="U38" s="6" t="n"/>
      <c r="V38" s="20">
        <f>SUM(B38,D38,F38,H38,J38,L38,N38,P38,R38,T38)</f>
        <v/>
      </c>
      <c r="W38" s="19">
        <f>COUNTIF(C38,"P")+COUNTIF(E38,"P")+COUNTIF(G38,"P")+COUNTIF(I38,"P")+COUNTIF(K38,"P")+COUNTIF(M38,"P")+COUNTIF(O38,"P")+COUNTIF(Q38,"P")+COUNTIF(S38,"P")+COUNTIF(U38,"P")</f>
        <v/>
      </c>
      <c r="X38" s="19">
        <f>COUNTIF(C38,"A")+COUNTIF(E38,"A")+COUNTIF(G38,"A")+COUNTIF(I38,"A")+COUNTIF(K38,"A")+COUNTIF(M38,"A")+COUNTIF(O38,"A")+COUNTIF(Q38,"A")+COUNTIF(S38,"A")+COUNTIF(U38,"A")</f>
        <v/>
      </c>
      <c r="Y38" s="19" t="n"/>
      <c r="Z38" s="19">
        <f>IF(Y38="","",Y38-V38)</f>
        <v/>
      </c>
      <c r="AA38" s="21">
        <f>IF(OR(Y38="",Y38=0),"",V38/Y38)</f>
        <v/>
      </c>
      <c r="AB38" s="22">
        <f>IF(OR(Y38="",Y38=0),"",IF((10-W38-X38)&lt;=0,"N/A",Z38/(10-W38-X38)))</f>
        <v/>
      </c>
      <c r="AC38" s="19">
        <f>IF(W38=0,"",ROUND((V38/W38)*10,0))</f>
        <v/>
      </c>
    </row>
    <row r="41">
      <c r="A41" s="16" t="inlineStr">
        <is>
          <t>Q3 — Quarter 3</t>
        </is>
      </c>
    </row>
    <row r="42">
      <c r="A42" s="17" t="inlineStr">
        <is>
          <t>Student Name</t>
        </is>
      </c>
      <c r="B42" s="17" t="inlineStr">
        <is>
          <t>Sess 1</t>
        </is>
      </c>
      <c r="C42" s="17" t="inlineStr">
        <is>
          <t>Att 1</t>
        </is>
      </c>
      <c r="D42" s="17" t="inlineStr">
        <is>
          <t>Sess 2</t>
        </is>
      </c>
      <c r="E42" s="17" t="inlineStr">
        <is>
          <t>Att 2</t>
        </is>
      </c>
      <c r="F42" s="17" t="inlineStr">
        <is>
          <t>Sess 3</t>
        </is>
      </c>
      <c r="G42" s="17" t="inlineStr">
        <is>
          <t>Att 3</t>
        </is>
      </c>
      <c r="H42" s="17" t="inlineStr">
        <is>
          <t>Sess 4</t>
        </is>
      </c>
      <c r="I42" s="17" t="inlineStr">
        <is>
          <t>Att 4</t>
        </is>
      </c>
      <c r="J42" s="17" t="inlineStr">
        <is>
          <t>Sess 5</t>
        </is>
      </c>
      <c r="K42" s="17" t="inlineStr">
        <is>
          <t>Att 5</t>
        </is>
      </c>
      <c r="L42" s="17" t="inlineStr">
        <is>
          <t>Sess 6</t>
        </is>
      </c>
      <c r="M42" s="17" t="inlineStr">
        <is>
          <t>Att 6</t>
        </is>
      </c>
      <c r="N42" s="17" t="inlineStr">
        <is>
          <t>Sess 7</t>
        </is>
      </c>
      <c r="O42" s="17" t="inlineStr">
        <is>
          <t>Att 7</t>
        </is>
      </c>
      <c r="P42" s="17" t="inlineStr">
        <is>
          <t>Sess 8</t>
        </is>
      </c>
      <c r="Q42" s="17" t="inlineStr">
        <is>
          <t>Att 8</t>
        </is>
      </c>
      <c r="R42" s="17" t="inlineStr">
        <is>
          <t>Sess 9</t>
        </is>
      </c>
      <c r="S42" s="17" t="inlineStr">
        <is>
          <t>Att 9</t>
        </is>
      </c>
      <c r="T42" s="17" t="inlineStr">
        <is>
          <t>Sess 10</t>
        </is>
      </c>
      <c r="U42" s="17" t="inlineStr">
        <is>
          <t>Att 10</t>
        </is>
      </c>
      <c r="V42" s="17" t="inlineStr">
        <is>
          <t>Min Met</t>
        </is>
      </c>
      <c r="W42" s="17" t="inlineStr">
        <is>
          <t>Sess Att</t>
        </is>
      </c>
      <c r="X42" s="17" t="inlineStr">
        <is>
          <t>Absences</t>
        </is>
      </c>
      <c r="Y42" s="17" t="inlineStr">
        <is>
          <t>IEP Req</t>
        </is>
      </c>
      <c r="Z42" s="17" t="inlineStr">
        <is>
          <t>Min Remain</t>
        </is>
      </c>
      <c r="AA42" s="17" t="inlineStr">
        <is>
          <t>% Complete</t>
        </is>
      </c>
      <c r="AB42" s="17" t="inlineStr">
        <is>
          <t>Pace Needed</t>
        </is>
      </c>
      <c r="AC42" s="17" t="inlineStr">
        <is>
          <t>Projected</t>
        </is>
      </c>
    </row>
    <row r="43">
      <c r="A43" s="18" t="inlineStr">
        <is>
          <t>Raya Hightower</t>
        </is>
      </c>
      <c r="B43" s="19" t="n"/>
      <c r="C43" s="6" t="n"/>
      <c r="D43" s="19" t="n"/>
      <c r="E43" s="6" t="n"/>
      <c r="F43" s="19" t="n"/>
      <c r="G43" s="6" t="n"/>
      <c r="H43" s="19" t="n"/>
      <c r="I43" s="6" t="n"/>
      <c r="J43" s="19" t="n"/>
      <c r="K43" s="6" t="n"/>
      <c r="L43" s="19" t="n"/>
      <c r="M43" s="6" t="n"/>
      <c r="N43" s="19" t="n"/>
      <c r="O43" s="6" t="n"/>
      <c r="P43" s="19" t="n"/>
      <c r="Q43" s="6" t="n"/>
      <c r="R43" s="19" t="n"/>
      <c r="S43" s="6" t="n"/>
      <c r="T43" s="19" t="n"/>
      <c r="U43" s="6" t="n"/>
      <c r="V43" s="20">
        <f>SUM(B43,D43,F43,H43,J43,L43,N43,P43,R43,T43)</f>
        <v/>
      </c>
      <c r="W43" s="19">
        <f>COUNTIF(C43,"P")+COUNTIF(E43,"P")+COUNTIF(G43,"P")+COUNTIF(I43,"P")+COUNTIF(K43,"P")+COUNTIF(M43,"P")+COUNTIF(O43,"P")+COUNTIF(Q43,"P")+COUNTIF(S43,"P")+COUNTIF(U43,"P")</f>
        <v/>
      </c>
      <c r="X43" s="19">
        <f>COUNTIF(C43,"A")+COUNTIF(E43,"A")+COUNTIF(G43,"A")+COUNTIF(I43,"A")+COUNTIF(K43,"A")+COUNTIF(M43,"A")+COUNTIF(O43,"A")+COUNTIF(Q43,"A")+COUNTIF(S43,"A")+COUNTIF(U43,"A")</f>
        <v/>
      </c>
      <c r="Y43" s="19" t="n"/>
      <c r="Z43" s="19">
        <f>IF(Y43="","",Y43-V43)</f>
        <v/>
      </c>
      <c r="AA43" s="21">
        <f>IF(OR(Y43="",Y43=0),"",V43/Y43)</f>
        <v/>
      </c>
      <c r="AB43" s="22">
        <f>IF(OR(Y43="",Y43=0),"",IF((10-W43-X43)&lt;=0,"N/A",Z43/(10-W43-X43)))</f>
        <v/>
      </c>
      <c r="AC43" s="19">
        <f>IF(W43=0,"",ROUND((V43/W43)*10,0))</f>
        <v/>
      </c>
    </row>
    <row r="44">
      <c r="A44" s="18" t="inlineStr">
        <is>
          <t>Anu Vijay Anand</t>
        </is>
      </c>
      <c r="B44" s="19" t="n"/>
      <c r="C44" s="6" t="n"/>
      <c r="D44" s="19" t="n"/>
      <c r="E44" s="6" t="n"/>
      <c r="F44" s="19" t="n"/>
      <c r="G44" s="6" t="n"/>
      <c r="H44" s="19" t="n"/>
      <c r="I44" s="6" t="n"/>
      <c r="J44" s="19" t="n"/>
      <c r="K44" s="6" t="n"/>
      <c r="L44" s="19" t="n"/>
      <c r="M44" s="6" t="n"/>
      <c r="N44" s="19" t="n"/>
      <c r="O44" s="6" t="n"/>
      <c r="P44" s="19" t="n"/>
      <c r="Q44" s="6" t="n"/>
      <c r="R44" s="19" t="n"/>
      <c r="S44" s="6" t="n"/>
      <c r="T44" s="19" t="n"/>
      <c r="U44" s="6" t="n"/>
      <c r="V44" s="20">
        <f>SUM(B44,D44,F44,H44,J44,L44,N44,P44,R44,T44)</f>
        <v/>
      </c>
      <c r="W44" s="19">
        <f>COUNTIF(C44,"P")+COUNTIF(E44,"P")+COUNTIF(G44,"P")+COUNTIF(I44,"P")+COUNTIF(K44,"P")+COUNTIF(M44,"P")+COUNTIF(O44,"P")+COUNTIF(Q44,"P")+COUNTIF(S44,"P")+COUNTIF(U44,"P")</f>
        <v/>
      </c>
      <c r="X44" s="19">
        <f>COUNTIF(C44,"A")+COUNTIF(E44,"A")+COUNTIF(G44,"A")+COUNTIF(I44,"A")+COUNTIF(K44,"A")+COUNTIF(M44,"A")+COUNTIF(O44,"A")+COUNTIF(Q44,"A")+COUNTIF(S44,"A")+COUNTIF(U44,"A")</f>
        <v/>
      </c>
      <c r="Y44" s="19" t="n"/>
      <c r="Z44" s="19">
        <f>IF(Y44="","",Y44-V44)</f>
        <v/>
      </c>
      <c r="AA44" s="21">
        <f>IF(OR(Y44="",Y44=0),"",V44/Y44)</f>
        <v/>
      </c>
      <c r="AB44" s="22">
        <f>IF(OR(Y44="",Y44=0),"",IF((10-W44-X44)&lt;=0,"N/A",Z44/(10-W44-X44)))</f>
        <v/>
      </c>
      <c r="AC44" s="19">
        <f>IF(W44=0,"",ROUND((V44/W44)*10,0))</f>
        <v/>
      </c>
    </row>
    <row r="45">
      <c r="A45" s="18" t="inlineStr">
        <is>
          <t>Aadhya Gone</t>
        </is>
      </c>
      <c r="B45" s="19" t="n"/>
      <c r="C45" s="6" t="n"/>
      <c r="D45" s="19" t="n"/>
      <c r="E45" s="6" t="n"/>
      <c r="F45" s="19" t="n"/>
      <c r="G45" s="6" t="n"/>
      <c r="H45" s="19" t="n"/>
      <c r="I45" s="6" t="n"/>
      <c r="J45" s="19" t="n"/>
      <c r="K45" s="6" t="n"/>
      <c r="L45" s="19" t="n"/>
      <c r="M45" s="6" t="n"/>
      <c r="N45" s="19" t="n"/>
      <c r="O45" s="6" t="n"/>
      <c r="P45" s="19" t="n"/>
      <c r="Q45" s="6" t="n"/>
      <c r="R45" s="19" t="n"/>
      <c r="S45" s="6" t="n"/>
      <c r="T45" s="19" t="n"/>
      <c r="U45" s="6" t="n"/>
      <c r="V45" s="20">
        <f>SUM(B45,D45,F45,H45,J45,L45,N45,P45,R45,T45)</f>
        <v/>
      </c>
      <c r="W45" s="19">
        <f>COUNTIF(C45,"P")+COUNTIF(E45,"P")+COUNTIF(G45,"P")+COUNTIF(I45,"P")+COUNTIF(K45,"P")+COUNTIF(M45,"P")+COUNTIF(O45,"P")+COUNTIF(Q45,"P")+COUNTIF(S45,"P")+COUNTIF(U45,"P")</f>
        <v/>
      </c>
      <c r="X45" s="19">
        <f>COUNTIF(C45,"A")+COUNTIF(E45,"A")+COUNTIF(G45,"A")+COUNTIF(I45,"A")+COUNTIF(K45,"A")+COUNTIF(M45,"A")+COUNTIF(O45,"A")+COUNTIF(Q45,"A")+COUNTIF(S45,"A")+COUNTIF(U45,"A")</f>
        <v/>
      </c>
      <c r="Y45" s="19" t="n"/>
      <c r="Z45" s="19">
        <f>IF(Y45="","",Y45-V45)</f>
        <v/>
      </c>
      <c r="AA45" s="21">
        <f>IF(OR(Y45="",Y45=0),"",V45/Y45)</f>
        <v/>
      </c>
      <c r="AB45" s="22">
        <f>IF(OR(Y45="",Y45=0),"",IF((10-W45-X45)&lt;=0,"N/A",Z45/(10-W45-X45)))</f>
        <v/>
      </c>
      <c r="AC45" s="19">
        <f>IF(W45=0,"",ROUND((V45/W45)*10,0))</f>
        <v/>
      </c>
    </row>
    <row r="46">
      <c r="A46" s="18" t="inlineStr">
        <is>
          <t>Sumeyah Khan</t>
        </is>
      </c>
      <c r="B46" s="19" t="n"/>
      <c r="C46" s="6" t="n"/>
      <c r="D46" s="19" t="n"/>
      <c r="E46" s="6" t="n"/>
      <c r="F46" s="19" t="n"/>
      <c r="G46" s="6" t="n"/>
      <c r="H46" s="19" t="n"/>
      <c r="I46" s="6" t="n"/>
      <c r="J46" s="19" t="n"/>
      <c r="K46" s="6" t="n"/>
      <c r="L46" s="19" t="n"/>
      <c r="M46" s="6" t="n"/>
      <c r="N46" s="19" t="n"/>
      <c r="O46" s="6" t="n"/>
      <c r="P46" s="19" t="n"/>
      <c r="Q46" s="6" t="n"/>
      <c r="R46" s="19" t="n"/>
      <c r="S46" s="6" t="n"/>
      <c r="T46" s="19" t="n"/>
      <c r="U46" s="6" t="n"/>
      <c r="V46" s="20">
        <f>SUM(B46,D46,F46,H46,J46,L46,N46,P46,R46,T46)</f>
        <v/>
      </c>
      <c r="W46" s="19">
        <f>COUNTIF(C46,"P")+COUNTIF(E46,"P")+COUNTIF(G46,"P")+COUNTIF(I46,"P")+COUNTIF(K46,"P")+COUNTIF(M46,"P")+COUNTIF(O46,"P")+COUNTIF(Q46,"P")+COUNTIF(S46,"P")+COUNTIF(U46,"P")</f>
        <v/>
      </c>
      <c r="X46" s="19">
        <f>COUNTIF(C46,"A")+COUNTIF(E46,"A")+COUNTIF(G46,"A")+COUNTIF(I46,"A")+COUNTIF(K46,"A")+COUNTIF(M46,"A")+COUNTIF(O46,"A")+COUNTIF(Q46,"A")+COUNTIF(S46,"A")+COUNTIF(U46,"A")</f>
        <v/>
      </c>
      <c r="Y46" s="19" t="n"/>
      <c r="Z46" s="19">
        <f>IF(Y46="","",Y46-V46)</f>
        <v/>
      </c>
      <c r="AA46" s="21">
        <f>IF(OR(Y46="",Y46=0),"",V46/Y46)</f>
        <v/>
      </c>
      <c r="AB46" s="22">
        <f>IF(OR(Y46="",Y46=0),"",IF((10-W46-X46)&lt;=0,"N/A",Z46/(10-W46-X46)))</f>
        <v/>
      </c>
      <c r="AC46" s="19">
        <f>IF(W46=0,"",ROUND((V46/W46)*10,0))</f>
        <v/>
      </c>
    </row>
    <row r="47">
      <c r="A47" s="18" t="inlineStr">
        <is>
          <t>Maria Mujeeb</t>
        </is>
      </c>
      <c r="B47" s="19" t="n"/>
      <c r="C47" s="6" t="n"/>
      <c r="D47" s="19" t="n"/>
      <c r="E47" s="6" t="n"/>
      <c r="F47" s="19" t="n"/>
      <c r="G47" s="6" t="n"/>
      <c r="H47" s="19" t="n"/>
      <c r="I47" s="6" t="n"/>
      <c r="J47" s="19" t="n"/>
      <c r="K47" s="6" t="n"/>
      <c r="L47" s="19" t="n"/>
      <c r="M47" s="6" t="n"/>
      <c r="N47" s="19" t="n"/>
      <c r="O47" s="6" t="n"/>
      <c r="P47" s="19" t="n"/>
      <c r="Q47" s="6" t="n"/>
      <c r="R47" s="19" t="n"/>
      <c r="S47" s="6" t="n"/>
      <c r="T47" s="19" t="n"/>
      <c r="U47" s="6" t="n"/>
      <c r="V47" s="20">
        <f>SUM(B47,D47,F47,H47,J47,L47,N47,P47,R47,T47)</f>
        <v/>
      </c>
      <c r="W47" s="19">
        <f>COUNTIF(C47,"P")+COUNTIF(E47,"P")+COUNTIF(G47,"P")+COUNTIF(I47,"P")+COUNTIF(K47,"P")+COUNTIF(M47,"P")+COUNTIF(O47,"P")+COUNTIF(Q47,"P")+COUNTIF(S47,"P")+COUNTIF(U47,"P")</f>
        <v/>
      </c>
      <c r="X47" s="19">
        <f>COUNTIF(C47,"A")+COUNTIF(E47,"A")+COUNTIF(G47,"A")+COUNTIF(I47,"A")+COUNTIF(K47,"A")+COUNTIF(M47,"A")+COUNTIF(O47,"A")+COUNTIF(Q47,"A")+COUNTIF(S47,"A")+COUNTIF(U47,"A")</f>
        <v/>
      </c>
      <c r="Y47" s="19" t="n"/>
      <c r="Z47" s="19">
        <f>IF(Y47="","",Y47-V47)</f>
        <v/>
      </c>
      <c r="AA47" s="21">
        <f>IF(OR(Y47="",Y47=0),"",V47/Y47)</f>
        <v/>
      </c>
      <c r="AB47" s="22">
        <f>IF(OR(Y47="",Y47=0),"",IF((10-W47-X47)&lt;=0,"N/A",Z47/(10-W47-X47)))</f>
        <v/>
      </c>
      <c r="AC47" s="19">
        <f>IF(W47=0,"",ROUND((V47/W47)*10,0))</f>
        <v/>
      </c>
    </row>
    <row r="48">
      <c r="A48" s="18" t="inlineStr">
        <is>
          <t>Jace Ratliff</t>
        </is>
      </c>
      <c r="B48" s="19" t="n"/>
      <c r="C48" s="6" t="n"/>
      <c r="D48" s="19" t="n"/>
      <c r="E48" s="6" t="n"/>
      <c r="F48" s="19" t="n"/>
      <c r="G48" s="6" t="n"/>
      <c r="H48" s="19" t="n"/>
      <c r="I48" s="6" t="n"/>
      <c r="J48" s="19" t="n"/>
      <c r="K48" s="6" t="n"/>
      <c r="L48" s="19" t="n"/>
      <c r="M48" s="6" t="n"/>
      <c r="N48" s="19" t="n"/>
      <c r="O48" s="6" t="n"/>
      <c r="P48" s="19" t="n"/>
      <c r="Q48" s="6" t="n"/>
      <c r="R48" s="19" t="n"/>
      <c r="S48" s="6" t="n"/>
      <c r="T48" s="19" t="n"/>
      <c r="U48" s="6" t="n"/>
      <c r="V48" s="20">
        <f>SUM(B48,D48,F48,H48,J48,L48,N48,P48,R48,T48)</f>
        <v/>
      </c>
      <c r="W48" s="19">
        <f>COUNTIF(C48,"P")+COUNTIF(E48,"P")+COUNTIF(G48,"P")+COUNTIF(I48,"P")+COUNTIF(K48,"P")+COUNTIF(M48,"P")+COUNTIF(O48,"P")+COUNTIF(Q48,"P")+COUNTIF(S48,"P")+COUNTIF(U48,"P")</f>
        <v/>
      </c>
      <c r="X48" s="19">
        <f>COUNTIF(C48,"A")+COUNTIF(E48,"A")+COUNTIF(G48,"A")+COUNTIF(I48,"A")+COUNTIF(K48,"A")+COUNTIF(M48,"A")+COUNTIF(O48,"A")+COUNTIF(Q48,"A")+COUNTIF(S48,"A")+COUNTIF(U48,"A")</f>
        <v/>
      </c>
      <c r="Y48" s="19" t="n"/>
      <c r="Z48" s="19">
        <f>IF(Y48="","",Y48-V48)</f>
        <v/>
      </c>
      <c r="AA48" s="21">
        <f>IF(OR(Y48="",Y48=0),"",V48/Y48)</f>
        <v/>
      </c>
      <c r="AB48" s="22">
        <f>IF(OR(Y48="",Y48=0),"",IF((10-W48-X48)&lt;=0,"N/A",Z48/(10-W48-X48)))</f>
        <v/>
      </c>
      <c r="AC48" s="19">
        <f>IF(W48=0,"",ROUND((V48/W48)*10,0))</f>
        <v/>
      </c>
    </row>
    <row r="49">
      <c r="A49" s="18" t="inlineStr">
        <is>
          <t>Evan Allen</t>
        </is>
      </c>
      <c r="B49" s="19" t="n"/>
      <c r="C49" s="6" t="n"/>
      <c r="D49" s="19" t="n"/>
      <c r="E49" s="6" t="n"/>
      <c r="F49" s="19" t="n"/>
      <c r="G49" s="6" t="n"/>
      <c r="H49" s="19" t="n"/>
      <c r="I49" s="6" t="n"/>
      <c r="J49" s="19" t="n"/>
      <c r="K49" s="6" t="n"/>
      <c r="L49" s="19" t="n"/>
      <c r="M49" s="6" t="n"/>
      <c r="N49" s="19" t="n"/>
      <c r="O49" s="6" t="n"/>
      <c r="P49" s="19" t="n"/>
      <c r="Q49" s="6" t="n"/>
      <c r="R49" s="19" t="n"/>
      <c r="S49" s="6" t="n"/>
      <c r="T49" s="19" t="n"/>
      <c r="U49" s="6" t="n"/>
      <c r="V49" s="20">
        <f>SUM(B49,D49,F49,H49,J49,L49,N49,P49,R49,T49)</f>
        <v/>
      </c>
      <c r="W49" s="19">
        <f>COUNTIF(C49,"P")+COUNTIF(E49,"P")+COUNTIF(G49,"P")+COUNTIF(I49,"P")+COUNTIF(K49,"P")+COUNTIF(M49,"P")+COUNTIF(O49,"P")+COUNTIF(Q49,"P")+COUNTIF(S49,"P")+COUNTIF(U49,"P")</f>
        <v/>
      </c>
      <c r="X49" s="19">
        <f>COUNTIF(C49,"A")+COUNTIF(E49,"A")+COUNTIF(G49,"A")+COUNTIF(I49,"A")+COUNTIF(K49,"A")+COUNTIF(M49,"A")+COUNTIF(O49,"A")+COUNTIF(Q49,"A")+COUNTIF(S49,"A")+COUNTIF(U49,"A")</f>
        <v/>
      </c>
      <c r="Y49" s="19" t="n"/>
      <c r="Z49" s="19">
        <f>IF(Y49="","",Y49-V49)</f>
        <v/>
      </c>
      <c r="AA49" s="21">
        <f>IF(OR(Y49="",Y49=0),"",V49/Y49)</f>
        <v/>
      </c>
      <c r="AB49" s="22">
        <f>IF(OR(Y49="",Y49=0),"",IF((10-W49-X49)&lt;=0,"N/A",Z49/(10-W49-X49)))</f>
        <v/>
      </c>
      <c r="AC49" s="19">
        <f>IF(W49=0,"",ROUND((V49/W49)*10,0))</f>
        <v/>
      </c>
    </row>
    <row r="50">
      <c r="A50" s="18" t="inlineStr">
        <is>
          <t>Sai Neelagiri</t>
        </is>
      </c>
      <c r="B50" s="19" t="n"/>
      <c r="C50" s="6" t="n"/>
      <c r="D50" s="19" t="n"/>
      <c r="E50" s="6" t="n"/>
      <c r="F50" s="19" t="n"/>
      <c r="G50" s="6" t="n"/>
      <c r="H50" s="19" t="n"/>
      <c r="I50" s="6" t="n"/>
      <c r="J50" s="19" t="n"/>
      <c r="K50" s="6" t="n"/>
      <c r="L50" s="19" t="n"/>
      <c r="M50" s="6" t="n"/>
      <c r="N50" s="19" t="n"/>
      <c r="O50" s="6" t="n"/>
      <c r="P50" s="19" t="n"/>
      <c r="Q50" s="6" t="n"/>
      <c r="R50" s="19" t="n"/>
      <c r="S50" s="6" t="n"/>
      <c r="T50" s="19" t="n"/>
      <c r="U50" s="6" t="n"/>
      <c r="V50" s="20">
        <f>SUM(B50,D50,F50,H50,J50,L50,N50,P50,R50,T50)</f>
        <v/>
      </c>
      <c r="W50" s="19">
        <f>COUNTIF(C50,"P")+COUNTIF(E50,"P")+COUNTIF(G50,"P")+COUNTIF(I50,"P")+COUNTIF(K50,"P")+COUNTIF(M50,"P")+COUNTIF(O50,"P")+COUNTIF(Q50,"P")+COUNTIF(S50,"P")+COUNTIF(U50,"P")</f>
        <v/>
      </c>
      <c r="X50" s="19">
        <f>COUNTIF(C50,"A")+COUNTIF(E50,"A")+COUNTIF(G50,"A")+COUNTIF(I50,"A")+COUNTIF(K50,"A")+COUNTIF(M50,"A")+COUNTIF(O50,"A")+COUNTIF(Q50,"A")+COUNTIF(S50,"A")+COUNTIF(U50,"A")</f>
        <v/>
      </c>
      <c r="Y50" s="19" t="n"/>
      <c r="Z50" s="19">
        <f>IF(Y50="","",Y50-V50)</f>
        <v/>
      </c>
      <c r="AA50" s="21">
        <f>IF(OR(Y50="",Y50=0),"",V50/Y50)</f>
        <v/>
      </c>
      <c r="AB50" s="22">
        <f>IF(OR(Y50="",Y50=0),"",IF((10-W50-X50)&lt;=0,"N/A",Z50/(10-W50-X50)))</f>
        <v/>
      </c>
      <c r="AC50" s="19">
        <f>IF(W50=0,"",ROUND((V50/W50)*10,0))</f>
        <v/>
      </c>
    </row>
    <row r="51">
      <c r="A51" s="18" t="inlineStr">
        <is>
          <t>Fletcher Meese</t>
        </is>
      </c>
      <c r="B51" s="19" t="n"/>
      <c r="C51" s="6" t="n"/>
      <c r="D51" s="19" t="n"/>
      <c r="E51" s="6" t="n"/>
      <c r="F51" s="19" t="n"/>
      <c r="G51" s="6" t="n"/>
      <c r="H51" s="19" t="n"/>
      <c r="I51" s="6" t="n"/>
      <c r="J51" s="19" t="n"/>
      <c r="K51" s="6" t="n"/>
      <c r="L51" s="19" t="n"/>
      <c r="M51" s="6" t="n"/>
      <c r="N51" s="19" t="n"/>
      <c r="O51" s="6" t="n"/>
      <c r="P51" s="19" t="n"/>
      <c r="Q51" s="6" t="n"/>
      <c r="R51" s="19" t="n"/>
      <c r="S51" s="6" t="n"/>
      <c r="T51" s="19" t="n"/>
      <c r="U51" s="6" t="n"/>
      <c r="V51" s="20">
        <f>SUM(B51,D51,F51,H51,J51,L51,N51,P51,R51,T51)</f>
        <v/>
      </c>
      <c r="W51" s="19">
        <f>COUNTIF(C51,"P")+COUNTIF(E51,"P")+COUNTIF(G51,"P")+COUNTIF(I51,"P")+COUNTIF(K51,"P")+COUNTIF(M51,"P")+COUNTIF(O51,"P")+COUNTIF(Q51,"P")+COUNTIF(S51,"P")+COUNTIF(U51,"P")</f>
        <v/>
      </c>
      <c r="X51" s="19">
        <f>COUNTIF(C51,"A")+COUNTIF(E51,"A")+COUNTIF(G51,"A")+COUNTIF(I51,"A")+COUNTIF(K51,"A")+COUNTIF(M51,"A")+COUNTIF(O51,"A")+COUNTIF(Q51,"A")+COUNTIF(S51,"A")+COUNTIF(U51,"A")</f>
        <v/>
      </c>
      <c r="Y51" s="19" t="n"/>
      <c r="Z51" s="19">
        <f>IF(Y51="","",Y51-V51)</f>
        <v/>
      </c>
      <c r="AA51" s="21">
        <f>IF(OR(Y51="",Y51=0),"",V51/Y51)</f>
        <v/>
      </c>
      <c r="AB51" s="22">
        <f>IF(OR(Y51="",Y51=0),"",IF((10-W51-X51)&lt;=0,"N/A",Z51/(10-W51-X51)))</f>
        <v/>
      </c>
      <c r="AC51" s="19">
        <f>IF(W51=0,"",ROUND((V51/W51)*10,0))</f>
        <v/>
      </c>
    </row>
    <row r="52">
      <c r="A52" s="18" t="inlineStr">
        <is>
          <t>Elijah Aldaco</t>
        </is>
      </c>
      <c r="B52" s="19" t="n"/>
      <c r="C52" s="6" t="n"/>
      <c r="D52" s="19" t="n"/>
      <c r="E52" s="6" t="n"/>
      <c r="F52" s="19" t="n"/>
      <c r="G52" s="6" t="n"/>
      <c r="H52" s="19" t="n"/>
      <c r="I52" s="6" t="n"/>
      <c r="J52" s="19" t="n"/>
      <c r="K52" s="6" t="n"/>
      <c r="L52" s="19" t="n"/>
      <c r="M52" s="6" t="n"/>
      <c r="N52" s="19" t="n"/>
      <c r="O52" s="6" t="n"/>
      <c r="P52" s="19" t="n"/>
      <c r="Q52" s="6" t="n"/>
      <c r="R52" s="19" t="n"/>
      <c r="S52" s="6" t="n"/>
      <c r="T52" s="19" t="n"/>
      <c r="U52" s="6" t="n"/>
      <c r="V52" s="20">
        <f>SUM(B52,D52,F52,H52,J52,L52,N52,P52,R52,T52)</f>
        <v/>
      </c>
      <c r="W52" s="19">
        <f>COUNTIF(C52,"P")+COUNTIF(E52,"P")+COUNTIF(G52,"P")+COUNTIF(I52,"P")+COUNTIF(K52,"P")+COUNTIF(M52,"P")+COUNTIF(O52,"P")+COUNTIF(Q52,"P")+COUNTIF(S52,"P")+COUNTIF(U52,"P")</f>
        <v/>
      </c>
      <c r="X52" s="19">
        <f>COUNTIF(C52,"A")+COUNTIF(E52,"A")+COUNTIF(G52,"A")+COUNTIF(I52,"A")+COUNTIF(K52,"A")+COUNTIF(M52,"A")+COUNTIF(O52,"A")+COUNTIF(Q52,"A")+COUNTIF(S52,"A")+COUNTIF(U52,"A")</f>
        <v/>
      </c>
      <c r="Y52" s="19" t="n"/>
      <c r="Z52" s="19">
        <f>IF(Y52="","",Y52-V52)</f>
        <v/>
      </c>
      <c r="AA52" s="21">
        <f>IF(OR(Y52="",Y52=0),"",V52/Y52)</f>
        <v/>
      </c>
      <c r="AB52" s="22">
        <f>IF(OR(Y52="",Y52=0),"",IF((10-W52-X52)&lt;=0,"N/A",Z52/(10-W52-X52)))</f>
        <v/>
      </c>
      <c r="AC52" s="19">
        <f>IF(W52=0,"",ROUND((V52/W52)*10,0))</f>
        <v/>
      </c>
    </row>
    <row r="53">
      <c r="A53" s="18" t="inlineStr">
        <is>
          <t>Cain Gutierrez</t>
        </is>
      </c>
      <c r="B53" s="19" t="n"/>
      <c r="C53" s="6" t="n"/>
      <c r="D53" s="19" t="n"/>
      <c r="E53" s="6" t="n"/>
      <c r="F53" s="19" t="n"/>
      <c r="G53" s="6" t="n"/>
      <c r="H53" s="19" t="n"/>
      <c r="I53" s="6" t="n"/>
      <c r="J53" s="19" t="n"/>
      <c r="K53" s="6" t="n"/>
      <c r="L53" s="19" t="n"/>
      <c r="M53" s="6" t="n"/>
      <c r="N53" s="19" t="n"/>
      <c r="O53" s="6" t="n"/>
      <c r="P53" s="19" t="n"/>
      <c r="Q53" s="6" t="n"/>
      <c r="R53" s="19" t="n"/>
      <c r="S53" s="6" t="n"/>
      <c r="T53" s="19" t="n"/>
      <c r="U53" s="6" t="n"/>
      <c r="V53" s="20">
        <f>SUM(B53,D53,F53,H53,J53,L53,N53,P53,R53,T53)</f>
        <v/>
      </c>
      <c r="W53" s="19">
        <f>COUNTIF(C53,"P")+COUNTIF(E53,"P")+COUNTIF(G53,"P")+COUNTIF(I53,"P")+COUNTIF(K53,"P")+COUNTIF(M53,"P")+COUNTIF(O53,"P")+COUNTIF(Q53,"P")+COUNTIF(S53,"P")+COUNTIF(U53,"P")</f>
        <v/>
      </c>
      <c r="X53" s="19">
        <f>COUNTIF(C53,"A")+COUNTIF(E53,"A")+COUNTIF(G53,"A")+COUNTIF(I53,"A")+COUNTIF(K53,"A")+COUNTIF(M53,"A")+COUNTIF(O53,"A")+COUNTIF(Q53,"A")+COUNTIF(S53,"A")+COUNTIF(U53,"A")</f>
        <v/>
      </c>
      <c r="Y53" s="19" t="n"/>
      <c r="Z53" s="19">
        <f>IF(Y53="","",Y53-V53)</f>
        <v/>
      </c>
      <c r="AA53" s="21">
        <f>IF(OR(Y53="",Y53=0),"",V53/Y53)</f>
        <v/>
      </c>
      <c r="AB53" s="22">
        <f>IF(OR(Y53="",Y53=0),"",IF((10-W53-X53)&lt;=0,"N/A",Z53/(10-W53-X53)))</f>
        <v/>
      </c>
      <c r="AC53" s="19">
        <f>IF(W53=0,"",ROUND((V53/W53)*10,0))</f>
        <v/>
      </c>
    </row>
    <row r="54">
      <c r="A54" s="18" t="inlineStr">
        <is>
          <t>Grayson Barnhart</t>
        </is>
      </c>
      <c r="B54" s="19" t="n"/>
      <c r="C54" s="6" t="n"/>
      <c r="D54" s="19" t="n"/>
      <c r="E54" s="6" t="n"/>
      <c r="F54" s="19" t="n"/>
      <c r="G54" s="6" t="n"/>
      <c r="H54" s="19" t="n"/>
      <c r="I54" s="6" t="n"/>
      <c r="J54" s="19" t="n"/>
      <c r="K54" s="6" t="n"/>
      <c r="L54" s="19" t="n"/>
      <c r="M54" s="6" t="n"/>
      <c r="N54" s="19" t="n"/>
      <c r="O54" s="6" t="n"/>
      <c r="P54" s="19" t="n"/>
      <c r="Q54" s="6" t="n"/>
      <c r="R54" s="19" t="n"/>
      <c r="S54" s="6" t="n"/>
      <c r="T54" s="19" t="n"/>
      <c r="U54" s="6" t="n"/>
      <c r="V54" s="20">
        <f>SUM(B54,D54,F54,H54,J54,L54,N54,P54,R54,T54)</f>
        <v/>
      </c>
      <c r="W54" s="19">
        <f>COUNTIF(C54,"P")+COUNTIF(E54,"P")+COUNTIF(G54,"P")+COUNTIF(I54,"P")+COUNTIF(K54,"P")+COUNTIF(M54,"P")+COUNTIF(O54,"P")+COUNTIF(Q54,"P")+COUNTIF(S54,"P")+COUNTIF(U54,"P")</f>
        <v/>
      </c>
      <c r="X54" s="19">
        <f>COUNTIF(C54,"A")+COUNTIF(E54,"A")+COUNTIF(G54,"A")+COUNTIF(I54,"A")+COUNTIF(K54,"A")+COUNTIF(M54,"A")+COUNTIF(O54,"A")+COUNTIF(Q54,"A")+COUNTIF(S54,"A")+COUNTIF(U54,"A")</f>
        <v/>
      </c>
      <c r="Y54" s="19" t="n"/>
      <c r="Z54" s="19">
        <f>IF(Y54="","",Y54-V54)</f>
        <v/>
      </c>
      <c r="AA54" s="21">
        <f>IF(OR(Y54="",Y54=0),"",V54/Y54)</f>
        <v/>
      </c>
      <c r="AB54" s="22">
        <f>IF(OR(Y54="",Y54=0),"",IF((10-W54-X54)&lt;=0,"N/A",Z54/(10-W54-X54)))</f>
        <v/>
      </c>
      <c r="AC54" s="19">
        <f>IF(W54=0,"",ROUND((V54/W54)*10,0))</f>
        <v/>
      </c>
    </row>
    <row r="55">
      <c r="A55" s="18" t="inlineStr">
        <is>
          <t>Abel Abraham</t>
        </is>
      </c>
      <c r="B55" s="19" t="n"/>
      <c r="C55" s="6" t="n"/>
      <c r="D55" s="19" t="n"/>
      <c r="E55" s="6" t="n"/>
      <c r="F55" s="19" t="n"/>
      <c r="G55" s="6" t="n"/>
      <c r="H55" s="19" t="n"/>
      <c r="I55" s="6" t="n"/>
      <c r="J55" s="19" t="n"/>
      <c r="K55" s="6" t="n"/>
      <c r="L55" s="19" t="n"/>
      <c r="M55" s="6" t="n"/>
      <c r="N55" s="19" t="n"/>
      <c r="O55" s="6" t="n"/>
      <c r="P55" s="19" t="n"/>
      <c r="Q55" s="6" t="n"/>
      <c r="R55" s="19" t="n"/>
      <c r="S55" s="6" t="n"/>
      <c r="T55" s="19" t="n"/>
      <c r="U55" s="6" t="n"/>
      <c r="V55" s="20">
        <f>SUM(B55,D55,F55,H55,J55,L55,N55,P55,R55,T55)</f>
        <v/>
      </c>
      <c r="W55" s="19">
        <f>COUNTIF(C55,"P")+COUNTIF(E55,"P")+COUNTIF(G55,"P")+COUNTIF(I55,"P")+COUNTIF(K55,"P")+COUNTIF(M55,"P")+COUNTIF(O55,"P")+COUNTIF(Q55,"P")+COUNTIF(S55,"P")+COUNTIF(U55,"P")</f>
        <v/>
      </c>
      <c r="X55" s="19">
        <f>COUNTIF(C55,"A")+COUNTIF(E55,"A")+COUNTIF(G55,"A")+COUNTIF(I55,"A")+COUNTIF(K55,"A")+COUNTIF(M55,"A")+COUNTIF(O55,"A")+COUNTIF(Q55,"A")+COUNTIF(S55,"A")+COUNTIF(U55,"A")</f>
        <v/>
      </c>
      <c r="Y55" s="19" t="n"/>
      <c r="Z55" s="19">
        <f>IF(Y55="","",Y55-V55)</f>
        <v/>
      </c>
      <c r="AA55" s="21">
        <f>IF(OR(Y55="",Y55=0),"",V55/Y55)</f>
        <v/>
      </c>
      <c r="AB55" s="22">
        <f>IF(OR(Y55="",Y55=0),"",IF((10-W55-X55)&lt;=0,"N/A",Z55/(10-W55-X55)))</f>
        <v/>
      </c>
      <c r="AC55" s="19">
        <f>IF(W55=0,"",ROUND((V55/W55)*10,0))</f>
        <v/>
      </c>
    </row>
    <row r="56">
      <c r="A56" s="18" t="inlineStr">
        <is>
          <t>John Joby</t>
        </is>
      </c>
      <c r="B56" s="19" t="n"/>
      <c r="C56" s="6" t="n"/>
      <c r="D56" s="19" t="n"/>
      <c r="E56" s="6" t="n"/>
      <c r="F56" s="19" t="n"/>
      <c r="G56" s="6" t="n"/>
      <c r="H56" s="19" t="n"/>
      <c r="I56" s="6" t="n"/>
      <c r="J56" s="19" t="n"/>
      <c r="K56" s="6" t="n"/>
      <c r="L56" s="19" t="n"/>
      <c r="M56" s="6" t="n"/>
      <c r="N56" s="19" t="n"/>
      <c r="O56" s="6" t="n"/>
      <c r="P56" s="19" t="n"/>
      <c r="Q56" s="6" t="n"/>
      <c r="R56" s="19" t="n"/>
      <c r="S56" s="6" t="n"/>
      <c r="T56" s="19" t="n"/>
      <c r="U56" s="6" t="n"/>
      <c r="V56" s="20">
        <f>SUM(B56,D56,F56,H56,J56,L56,N56,P56,R56,T56)</f>
        <v/>
      </c>
      <c r="W56" s="19">
        <f>COUNTIF(C56,"P")+COUNTIF(E56,"P")+COUNTIF(G56,"P")+COUNTIF(I56,"P")+COUNTIF(K56,"P")+COUNTIF(M56,"P")+COUNTIF(O56,"P")+COUNTIF(Q56,"P")+COUNTIF(S56,"P")+COUNTIF(U56,"P")</f>
        <v/>
      </c>
      <c r="X56" s="19">
        <f>COUNTIF(C56,"A")+COUNTIF(E56,"A")+COUNTIF(G56,"A")+COUNTIF(I56,"A")+COUNTIF(K56,"A")+COUNTIF(M56,"A")+COUNTIF(O56,"A")+COUNTIF(Q56,"A")+COUNTIF(S56,"A")+COUNTIF(U56,"A")</f>
        <v/>
      </c>
      <c r="Y56" s="19" t="n"/>
      <c r="Z56" s="19">
        <f>IF(Y56="","",Y56-V56)</f>
        <v/>
      </c>
      <c r="AA56" s="21">
        <f>IF(OR(Y56="",Y56=0),"",V56/Y56)</f>
        <v/>
      </c>
      <c r="AB56" s="22">
        <f>IF(OR(Y56="",Y56=0),"",IF((10-W56-X56)&lt;=0,"N/A",Z56/(10-W56-X56)))</f>
        <v/>
      </c>
      <c r="AC56" s="19">
        <f>IF(W56=0,"",ROUND((V56/W56)*10,0))</f>
        <v/>
      </c>
    </row>
    <row r="57">
      <c r="A57" s="18" t="inlineStr">
        <is>
          <t>Jason Bean</t>
        </is>
      </c>
      <c r="B57" s="19" t="n"/>
      <c r="C57" s="6" t="n"/>
      <c r="D57" s="19" t="n"/>
      <c r="E57" s="6" t="n"/>
      <c r="F57" s="19" t="n"/>
      <c r="G57" s="6" t="n"/>
      <c r="H57" s="19" t="n"/>
      <c r="I57" s="6" t="n"/>
      <c r="J57" s="19" t="n"/>
      <c r="K57" s="6" t="n"/>
      <c r="L57" s="19" t="n"/>
      <c r="M57" s="6" t="n"/>
      <c r="N57" s="19" t="n"/>
      <c r="O57" s="6" t="n"/>
      <c r="P57" s="19" t="n"/>
      <c r="Q57" s="6" t="n"/>
      <c r="R57" s="19" t="n"/>
      <c r="S57" s="6" t="n"/>
      <c r="T57" s="19" t="n"/>
      <c r="U57" s="6" t="n"/>
      <c r="V57" s="20">
        <f>SUM(B57,D57,F57,H57,J57,L57,N57,P57,R57,T57)</f>
        <v/>
      </c>
      <c r="W57" s="19">
        <f>COUNTIF(C57,"P")+COUNTIF(E57,"P")+COUNTIF(G57,"P")+COUNTIF(I57,"P")+COUNTIF(K57,"P")+COUNTIF(M57,"P")+COUNTIF(O57,"P")+COUNTIF(Q57,"P")+COUNTIF(S57,"P")+COUNTIF(U57,"P")</f>
        <v/>
      </c>
      <c r="X57" s="19">
        <f>COUNTIF(C57,"A")+COUNTIF(E57,"A")+COUNTIF(G57,"A")+COUNTIF(I57,"A")+COUNTIF(K57,"A")+COUNTIF(M57,"A")+COUNTIF(O57,"A")+COUNTIF(Q57,"A")+COUNTIF(S57,"A")+COUNTIF(U57,"A")</f>
        <v/>
      </c>
      <c r="Y57" s="19" t="n"/>
      <c r="Z57" s="19">
        <f>IF(Y57="","",Y57-V57)</f>
        <v/>
      </c>
      <c r="AA57" s="21">
        <f>IF(OR(Y57="",Y57=0),"",V57/Y57)</f>
        <v/>
      </c>
      <c r="AB57" s="22">
        <f>IF(OR(Y57="",Y57=0),"",IF((10-W57-X57)&lt;=0,"N/A",Z57/(10-W57-X57)))</f>
        <v/>
      </c>
      <c r="AC57" s="19">
        <f>IF(W57=0,"",ROUND((V57/W57)*10,0))</f>
        <v/>
      </c>
    </row>
    <row r="60">
      <c r="A60" s="25" t="inlineStr">
        <is>
          <t>Q4 — Quarter 4</t>
        </is>
      </c>
    </row>
    <row r="61">
      <c r="A61" s="17" t="inlineStr">
        <is>
          <t>Student Name</t>
        </is>
      </c>
      <c r="B61" s="17" t="inlineStr">
        <is>
          <t>Sess 1</t>
        </is>
      </c>
      <c r="C61" s="17" t="inlineStr">
        <is>
          <t>Att 1</t>
        </is>
      </c>
      <c r="D61" s="17" t="inlineStr">
        <is>
          <t>Sess 2</t>
        </is>
      </c>
      <c r="E61" s="17" t="inlineStr">
        <is>
          <t>Att 2</t>
        </is>
      </c>
      <c r="F61" s="17" t="inlineStr">
        <is>
          <t>Sess 3</t>
        </is>
      </c>
      <c r="G61" s="17" t="inlineStr">
        <is>
          <t>Att 3</t>
        </is>
      </c>
      <c r="H61" s="17" t="inlineStr">
        <is>
          <t>Sess 4</t>
        </is>
      </c>
      <c r="I61" s="17" t="inlineStr">
        <is>
          <t>Att 4</t>
        </is>
      </c>
      <c r="J61" s="17" t="inlineStr">
        <is>
          <t>Sess 5</t>
        </is>
      </c>
      <c r="K61" s="17" t="inlineStr">
        <is>
          <t>Att 5</t>
        </is>
      </c>
      <c r="L61" s="17" t="inlineStr">
        <is>
          <t>Sess 6</t>
        </is>
      </c>
      <c r="M61" s="17" t="inlineStr">
        <is>
          <t>Att 6</t>
        </is>
      </c>
      <c r="N61" s="17" t="inlineStr">
        <is>
          <t>Sess 7</t>
        </is>
      </c>
      <c r="O61" s="17" t="inlineStr">
        <is>
          <t>Att 7</t>
        </is>
      </c>
      <c r="P61" s="17" t="inlineStr">
        <is>
          <t>Sess 8</t>
        </is>
      </c>
      <c r="Q61" s="17" t="inlineStr">
        <is>
          <t>Att 8</t>
        </is>
      </c>
      <c r="R61" s="17" t="inlineStr">
        <is>
          <t>Sess 9</t>
        </is>
      </c>
      <c r="S61" s="17" t="inlineStr">
        <is>
          <t>Att 9</t>
        </is>
      </c>
      <c r="T61" s="17" t="inlineStr">
        <is>
          <t>Sess 10</t>
        </is>
      </c>
      <c r="U61" s="17" t="inlineStr">
        <is>
          <t>Att 10</t>
        </is>
      </c>
      <c r="V61" s="17" t="inlineStr">
        <is>
          <t>Min Met</t>
        </is>
      </c>
      <c r="W61" s="17" t="inlineStr">
        <is>
          <t>Sess Att</t>
        </is>
      </c>
      <c r="X61" s="17" t="inlineStr">
        <is>
          <t>Absences</t>
        </is>
      </c>
      <c r="Y61" s="17" t="inlineStr">
        <is>
          <t>IEP Req</t>
        </is>
      </c>
      <c r="Z61" s="17" t="inlineStr">
        <is>
          <t>Min Remain</t>
        </is>
      </c>
      <c r="AA61" s="17" t="inlineStr">
        <is>
          <t>% Complete</t>
        </is>
      </c>
      <c r="AB61" s="17" t="inlineStr">
        <is>
          <t>Pace Needed</t>
        </is>
      </c>
      <c r="AC61" s="17" t="inlineStr">
        <is>
          <t>Projected</t>
        </is>
      </c>
    </row>
    <row r="62">
      <c r="A62" s="18" t="inlineStr">
        <is>
          <t>Raya Hightower</t>
        </is>
      </c>
      <c r="B62" s="19" t="n"/>
      <c r="C62" s="6" t="n"/>
      <c r="D62" s="19" t="n"/>
      <c r="E62" s="6" t="n"/>
      <c r="F62" s="19" t="n"/>
      <c r="G62" s="6" t="n"/>
      <c r="H62" s="19" t="n"/>
      <c r="I62" s="6" t="n"/>
      <c r="J62" s="19" t="n"/>
      <c r="K62" s="6" t="n"/>
      <c r="L62" s="19" t="n"/>
      <c r="M62" s="6" t="n"/>
      <c r="N62" s="19" t="n"/>
      <c r="O62" s="6" t="n"/>
      <c r="P62" s="19" t="n"/>
      <c r="Q62" s="6" t="n"/>
      <c r="R62" s="19" t="n"/>
      <c r="S62" s="6" t="n"/>
      <c r="T62" s="19" t="n"/>
      <c r="U62" s="6" t="n"/>
      <c r="V62" s="20">
        <f>SUM(B62,D62,F62,H62,J62,L62,N62,P62,R62,T62)</f>
        <v/>
      </c>
      <c r="W62" s="19">
        <f>COUNTIF(C62,"P")+COUNTIF(E62,"P")+COUNTIF(G62,"P")+COUNTIF(I62,"P")+COUNTIF(K62,"P")+COUNTIF(M62,"P")+COUNTIF(O62,"P")+COUNTIF(Q62,"P")+COUNTIF(S62,"P")+COUNTIF(U62,"P")</f>
        <v/>
      </c>
      <c r="X62" s="19">
        <f>COUNTIF(C62,"A")+COUNTIF(E62,"A")+COUNTIF(G62,"A")+COUNTIF(I62,"A")+COUNTIF(K62,"A")+COUNTIF(M62,"A")+COUNTIF(O62,"A")+COUNTIF(Q62,"A")+COUNTIF(S62,"A")+COUNTIF(U62,"A")</f>
        <v/>
      </c>
      <c r="Y62" s="19" t="n"/>
      <c r="Z62" s="19">
        <f>IF(Y62="","",Y62-V62)</f>
        <v/>
      </c>
      <c r="AA62" s="21">
        <f>IF(OR(Y62="",Y62=0),"",V62/Y62)</f>
        <v/>
      </c>
      <c r="AB62" s="22">
        <f>IF(OR(Y62="",Y62=0),"",IF((10-W62-X62)&lt;=0,"N/A",Z62/(10-W62-X62)))</f>
        <v/>
      </c>
      <c r="AC62" s="19">
        <f>IF(W62=0,"",ROUND((V62/W62)*10,0))</f>
        <v/>
      </c>
    </row>
    <row r="63">
      <c r="A63" s="18" t="inlineStr">
        <is>
          <t>Anu Vijay Anand</t>
        </is>
      </c>
      <c r="B63" s="19" t="n"/>
      <c r="C63" s="6" t="n"/>
      <c r="D63" s="19" t="n"/>
      <c r="E63" s="6" t="n"/>
      <c r="F63" s="19" t="n"/>
      <c r="G63" s="6" t="n"/>
      <c r="H63" s="19" t="n"/>
      <c r="I63" s="6" t="n"/>
      <c r="J63" s="19" t="n"/>
      <c r="K63" s="6" t="n"/>
      <c r="L63" s="19" t="n"/>
      <c r="M63" s="6" t="n"/>
      <c r="N63" s="19" t="n"/>
      <c r="O63" s="6" t="n"/>
      <c r="P63" s="19" t="n"/>
      <c r="Q63" s="6" t="n"/>
      <c r="R63" s="19" t="n"/>
      <c r="S63" s="6" t="n"/>
      <c r="T63" s="19" t="n"/>
      <c r="U63" s="6" t="n"/>
      <c r="V63" s="20">
        <f>SUM(B63,D63,F63,H63,J63,L63,N63,P63,R63,T63)</f>
        <v/>
      </c>
      <c r="W63" s="19">
        <f>COUNTIF(C63,"P")+COUNTIF(E63,"P")+COUNTIF(G63,"P")+COUNTIF(I63,"P")+COUNTIF(K63,"P")+COUNTIF(M63,"P")+COUNTIF(O63,"P")+COUNTIF(Q63,"P")+COUNTIF(S63,"P")+COUNTIF(U63,"P")</f>
        <v/>
      </c>
      <c r="X63" s="19">
        <f>COUNTIF(C63,"A")+COUNTIF(E63,"A")+COUNTIF(G63,"A")+COUNTIF(I63,"A")+COUNTIF(K63,"A")+COUNTIF(M63,"A")+COUNTIF(O63,"A")+COUNTIF(Q63,"A")+COUNTIF(S63,"A")+COUNTIF(U63,"A")</f>
        <v/>
      </c>
      <c r="Y63" s="19" t="n"/>
      <c r="Z63" s="19">
        <f>IF(Y63="","",Y63-V63)</f>
        <v/>
      </c>
      <c r="AA63" s="21">
        <f>IF(OR(Y63="",Y63=0),"",V63/Y63)</f>
        <v/>
      </c>
      <c r="AB63" s="22">
        <f>IF(OR(Y63="",Y63=0),"",IF((10-W63-X63)&lt;=0,"N/A",Z63/(10-W63-X63)))</f>
        <v/>
      </c>
      <c r="AC63" s="19">
        <f>IF(W63=0,"",ROUND((V63/W63)*10,0))</f>
        <v/>
      </c>
    </row>
    <row r="64">
      <c r="A64" s="18" t="inlineStr">
        <is>
          <t>Aadhya Gone</t>
        </is>
      </c>
      <c r="B64" s="19" t="n"/>
      <c r="C64" s="6" t="n"/>
      <c r="D64" s="19" t="n"/>
      <c r="E64" s="6" t="n"/>
      <c r="F64" s="19" t="n"/>
      <c r="G64" s="6" t="n"/>
      <c r="H64" s="19" t="n"/>
      <c r="I64" s="6" t="n"/>
      <c r="J64" s="19" t="n"/>
      <c r="K64" s="6" t="n"/>
      <c r="L64" s="19" t="n"/>
      <c r="M64" s="6" t="n"/>
      <c r="N64" s="19" t="n"/>
      <c r="O64" s="6" t="n"/>
      <c r="P64" s="19" t="n"/>
      <c r="Q64" s="6" t="n"/>
      <c r="R64" s="19" t="n"/>
      <c r="S64" s="6" t="n"/>
      <c r="T64" s="19" t="n"/>
      <c r="U64" s="6" t="n"/>
      <c r="V64" s="20">
        <f>SUM(B64,D64,F64,H64,J64,L64,N64,P64,R64,T64)</f>
        <v/>
      </c>
      <c r="W64" s="19">
        <f>COUNTIF(C64,"P")+COUNTIF(E64,"P")+COUNTIF(G64,"P")+COUNTIF(I64,"P")+COUNTIF(K64,"P")+COUNTIF(M64,"P")+COUNTIF(O64,"P")+COUNTIF(Q64,"P")+COUNTIF(S64,"P")+COUNTIF(U64,"P")</f>
        <v/>
      </c>
      <c r="X64" s="19">
        <f>COUNTIF(C64,"A")+COUNTIF(E64,"A")+COUNTIF(G64,"A")+COUNTIF(I64,"A")+COUNTIF(K64,"A")+COUNTIF(M64,"A")+COUNTIF(O64,"A")+COUNTIF(Q64,"A")+COUNTIF(S64,"A")+COUNTIF(U64,"A")</f>
        <v/>
      </c>
      <c r="Y64" s="19" t="n"/>
      <c r="Z64" s="19">
        <f>IF(Y64="","",Y64-V64)</f>
        <v/>
      </c>
      <c r="AA64" s="21">
        <f>IF(OR(Y64="",Y64=0),"",V64/Y64)</f>
        <v/>
      </c>
      <c r="AB64" s="22">
        <f>IF(OR(Y64="",Y64=0),"",IF((10-W64-X64)&lt;=0,"N/A",Z64/(10-W64-X64)))</f>
        <v/>
      </c>
      <c r="AC64" s="19">
        <f>IF(W64=0,"",ROUND((V64/W64)*10,0))</f>
        <v/>
      </c>
    </row>
    <row r="65">
      <c r="A65" s="18" t="inlineStr">
        <is>
          <t>Sumeyah Khan</t>
        </is>
      </c>
      <c r="B65" s="19" t="n"/>
      <c r="C65" s="6" t="n"/>
      <c r="D65" s="19" t="n"/>
      <c r="E65" s="6" t="n"/>
      <c r="F65" s="19" t="n"/>
      <c r="G65" s="6" t="n"/>
      <c r="H65" s="19" t="n"/>
      <c r="I65" s="6" t="n"/>
      <c r="J65" s="19" t="n"/>
      <c r="K65" s="6" t="n"/>
      <c r="L65" s="19" t="n"/>
      <c r="M65" s="6" t="n"/>
      <c r="N65" s="19" t="n"/>
      <c r="O65" s="6" t="n"/>
      <c r="P65" s="19" t="n"/>
      <c r="Q65" s="6" t="n"/>
      <c r="R65" s="19" t="n"/>
      <c r="S65" s="6" t="n"/>
      <c r="T65" s="19" t="n"/>
      <c r="U65" s="6" t="n"/>
      <c r="V65" s="20">
        <f>SUM(B65,D65,F65,H65,J65,L65,N65,P65,R65,T65)</f>
        <v/>
      </c>
      <c r="W65" s="19">
        <f>COUNTIF(C65,"P")+COUNTIF(E65,"P")+COUNTIF(G65,"P")+COUNTIF(I65,"P")+COUNTIF(K65,"P")+COUNTIF(M65,"P")+COUNTIF(O65,"P")+COUNTIF(Q65,"P")+COUNTIF(S65,"P")+COUNTIF(U65,"P")</f>
        <v/>
      </c>
      <c r="X65" s="19">
        <f>COUNTIF(C65,"A")+COUNTIF(E65,"A")+COUNTIF(G65,"A")+COUNTIF(I65,"A")+COUNTIF(K65,"A")+COUNTIF(M65,"A")+COUNTIF(O65,"A")+COUNTIF(Q65,"A")+COUNTIF(S65,"A")+COUNTIF(U65,"A")</f>
        <v/>
      </c>
      <c r="Y65" s="19" t="n"/>
      <c r="Z65" s="19">
        <f>IF(Y65="","",Y65-V65)</f>
        <v/>
      </c>
      <c r="AA65" s="21">
        <f>IF(OR(Y65="",Y65=0),"",V65/Y65)</f>
        <v/>
      </c>
      <c r="AB65" s="22">
        <f>IF(OR(Y65="",Y65=0),"",IF((10-W65-X65)&lt;=0,"N/A",Z65/(10-W65-X65)))</f>
        <v/>
      </c>
      <c r="AC65" s="19">
        <f>IF(W65=0,"",ROUND((V65/W65)*10,0))</f>
        <v/>
      </c>
    </row>
    <row r="66">
      <c r="A66" s="18" t="inlineStr">
        <is>
          <t>Maria Mujeeb</t>
        </is>
      </c>
      <c r="B66" s="19" t="n"/>
      <c r="C66" s="6" t="n"/>
      <c r="D66" s="19" t="n"/>
      <c r="E66" s="6" t="n"/>
      <c r="F66" s="19" t="n"/>
      <c r="G66" s="6" t="n"/>
      <c r="H66" s="19" t="n"/>
      <c r="I66" s="6" t="n"/>
      <c r="J66" s="19" t="n"/>
      <c r="K66" s="6" t="n"/>
      <c r="L66" s="19" t="n"/>
      <c r="M66" s="6" t="n"/>
      <c r="N66" s="19" t="n"/>
      <c r="O66" s="6" t="n"/>
      <c r="P66" s="19" t="n"/>
      <c r="Q66" s="6" t="n"/>
      <c r="R66" s="19" t="n"/>
      <c r="S66" s="6" t="n"/>
      <c r="T66" s="19" t="n"/>
      <c r="U66" s="6" t="n"/>
      <c r="V66" s="20">
        <f>SUM(B66,D66,F66,H66,J66,L66,N66,P66,R66,T66)</f>
        <v/>
      </c>
      <c r="W66" s="19">
        <f>COUNTIF(C66,"P")+COUNTIF(E66,"P")+COUNTIF(G66,"P")+COUNTIF(I66,"P")+COUNTIF(K66,"P")+COUNTIF(M66,"P")+COUNTIF(O66,"P")+COUNTIF(Q66,"P")+COUNTIF(S66,"P")+COUNTIF(U66,"P")</f>
        <v/>
      </c>
      <c r="X66" s="19">
        <f>COUNTIF(C66,"A")+COUNTIF(E66,"A")+COUNTIF(G66,"A")+COUNTIF(I66,"A")+COUNTIF(K66,"A")+COUNTIF(M66,"A")+COUNTIF(O66,"A")+COUNTIF(Q66,"A")+COUNTIF(S66,"A")+COUNTIF(U66,"A")</f>
        <v/>
      </c>
      <c r="Y66" s="19" t="n"/>
      <c r="Z66" s="19">
        <f>IF(Y66="","",Y66-V66)</f>
        <v/>
      </c>
      <c r="AA66" s="21">
        <f>IF(OR(Y66="",Y66=0),"",V66/Y66)</f>
        <v/>
      </c>
      <c r="AB66" s="22">
        <f>IF(OR(Y66="",Y66=0),"",IF((10-W66-X66)&lt;=0,"N/A",Z66/(10-W66-X66)))</f>
        <v/>
      </c>
      <c r="AC66" s="19">
        <f>IF(W66=0,"",ROUND((V66/W66)*10,0))</f>
        <v/>
      </c>
    </row>
    <row r="67">
      <c r="A67" s="18" t="inlineStr">
        <is>
          <t>Jace Ratliff</t>
        </is>
      </c>
      <c r="B67" s="19" t="n"/>
      <c r="C67" s="6" t="n"/>
      <c r="D67" s="19" t="n"/>
      <c r="E67" s="6" t="n"/>
      <c r="F67" s="19" t="n"/>
      <c r="G67" s="6" t="n"/>
      <c r="H67" s="19" t="n"/>
      <c r="I67" s="6" t="n"/>
      <c r="J67" s="19" t="n"/>
      <c r="K67" s="6" t="n"/>
      <c r="L67" s="19" t="n"/>
      <c r="M67" s="6" t="n"/>
      <c r="N67" s="19" t="n"/>
      <c r="O67" s="6" t="n"/>
      <c r="P67" s="19" t="n"/>
      <c r="Q67" s="6" t="n"/>
      <c r="R67" s="19" t="n"/>
      <c r="S67" s="6" t="n"/>
      <c r="T67" s="19" t="n"/>
      <c r="U67" s="6" t="n"/>
      <c r="V67" s="20">
        <f>SUM(B67,D67,F67,H67,J67,L67,N67,P67,R67,T67)</f>
        <v/>
      </c>
      <c r="W67" s="19">
        <f>COUNTIF(C67,"P")+COUNTIF(E67,"P")+COUNTIF(G67,"P")+COUNTIF(I67,"P")+COUNTIF(K67,"P")+COUNTIF(M67,"P")+COUNTIF(O67,"P")+COUNTIF(Q67,"P")+COUNTIF(S67,"P")+COUNTIF(U67,"P")</f>
        <v/>
      </c>
      <c r="X67" s="19">
        <f>COUNTIF(C67,"A")+COUNTIF(E67,"A")+COUNTIF(G67,"A")+COUNTIF(I67,"A")+COUNTIF(K67,"A")+COUNTIF(M67,"A")+COUNTIF(O67,"A")+COUNTIF(Q67,"A")+COUNTIF(S67,"A")+COUNTIF(U67,"A")</f>
        <v/>
      </c>
      <c r="Y67" s="19" t="n"/>
      <c r="Z67" s="19">
        <f>IF(Y67="","",Y67-V67)</f>
        <v/>
      </c>
      <c r="AA67" s="21">
        <f>IF(OR(Y67="",Y67=0),"",V67/Y67)</f>
        <v/>
      </c>
      <c r="AB67" s="22">
        <f>IF(OR(Y67="",Y67=0),"",IF((10-W67-X67)&lt;=0,"N/A",Z67/(10-W67-X67)))</f>
        <v/>
      </c>
      <c r="AC67" s="19">
        <f>IF(W67=0,"",ROUND((V67/W67)*10,0))</f>
        <v/>
      </c>
    </row>
    <row r="68">
      <c r="A68" s="18" t="inlineStr">
        <is>
          <t>Evan Allen</t>
        </is>
      </c>
      <c r="B68" s="19" t="n"/>
      <c r="C68" s="6" t="n"/>
      <c r="D68" s="19" t="n"/>
      <c r="E68" s="6" t="n"/>
      <c r="F68" s="19" t="n"/>
      <c r="G68" s="6" t="n"/>
      <c r="H68" s="19" t="n"/>
      <c r="I68" s="6" t="n"/>
      <c r="J68" s="19" t="n"/>
      <c r="K68" s="6" t="n"/>
      <c r="L68" s="19" t="n"/>
      <c r="M68" s="6" t="n"/>
      <c r="N68" s="19" t="n"/>
      <c r="O68" s="6" t="n"/>
      <c r="P68" s="19" t="n"/>
      <c r="Q68" s="6" t="n"/>
      <c r="R68" s="19" t="n"/>
      <c r="S68" s="6" t="n"/>
      <c r="T68" s="19" t="n"/>
      <c r="U68" s="6" t="n"/>
      <c r="V68" s="20">
        <f>SUM(B68,D68,F68,H68,J68,L68,N68,P68,R68,T68)</f>
        <v/>
      </c>
      <c r="W68" s="19">
        <f>COUNTIF(C68,"P")+COUNTIF(E68,"P")+COUNTIF(G68,"P")+COUNTIF(I68,"P")+COUNTIF(K68,"P")+COUNTIF(M68,"P")+COUNTIF(O68,"P")+COUNTIF(Q68,"P")+COUNTIF(S68,"P")+COUNTIF(U68,"P")</f>
        <v/>
      </c>
      <c r="X68" s="19">
        <f>COUNTIF(C68,"A")+COUNTIF(E68,"A")+COUNTIF(G68,"A")+COUNTIF(I68,"A")+COUNTIF(K68,"A")+COUNTIF(M68,"A")+COUNTIF(O68,"A")+COUNTIF(Q68,"A")+COUNTIF(S68,"A")+COUNTIF(U68,"A")</f>
        <v/>
      </c>
      <c r="Y68" s="19" t="n"/>
      <c r="Z68" s="19">
        <f>IF(Y68="","",Y68-V68)</f>
        <v/>
      </c>
      <c r="AA68" s="21">
        <f>IF(OR(Y68="",Y68=0),"",V68/Y68)</f>
        <v/>
      </c>
      <c r="AB68" s="22">
        <f>IF(OR(Y68="",Y68=0),"",IF((10-W68-X68)&lt;=0,"N/A",Z68/(10-W68-X68)))</f>
        <v/>
      </c>
      <c r="AC68" s="19">
        <f>IF(W68=0,"",ROUND((V68/W68)*10,0))</f>
        <v/>
      </c>
    </row>
    <row r="69">
      <c r="A69" s="18" t="inlineStr">
        <is>
          <t>Sai Neelagiri</t>
        </is>
      </c>
      <c r="B69" s="19" t="n"/>
      <c r="C69" s="6" t="n"/>
      <c r="D69" s="19" t="n"/>
      <c r="E69" s="6" t="n"/>
      <c r="F69" s="19" t="n"/>
      <c r="G69" s="6" t="n"/>
      <c r="H69" s="19" t="n"/>
      <c r="I69" s="6" t="n"/>
      <c r="J69" s="19" t="n"/>
      <c r="K69" s="6" t="n"/>
      <c r="L69" s="19" t="n"/>
      <c r="M69" s="6" t="n"/>
      <c r="N69" s="19" t="n"/>
      <c r="O69" s="6" t="n"/>
      <c r="P69" s="19" t="n"/>
      <c r="Q69" s="6" t="n"/>
      <c r="R69" s="19" t="n"/>
      <c r="S69" s="6" t="n"/>
      <c r="T69" s="19" t="n"/>
      <c r="U69" s="6" t="n"/>
      <c r="V69" s="20">
        <f>SUM(B69,D69,F69,H69,J69,L69,N69,P69,R69,T69)</f>
        <v/>
      </c>
      <c r="W69" s="19">
        <f>COUNTIF(C69,"P")+COUNTIF(E69,"P")+COUNTIF(G69,"P")+COUNTIF(I69,"P")+COUNTIF(K69,"P")+COUNTIF(M69,"P")+COUNTIF(O69,"P")+COUNTIF(Q69,"P")+COUNTIF(S69,"P")+COUNTIF(U69,"P")</f>
        <v/>
      </c>
      <c r="X69" s="19">
        <f>COUNTIF(C69,"A")+COUNTIF(E69,"A")+COUNTIF(G69,"A")+COUNTIF(I69,"A")+COUNTIF(K69,"A")+COUNTIF(M69,"A")+COUNTIF(O69,"A")+COUNTIF(Q69,"A")+COUNTIF(S69,"A")+COUNTIF(U69,"A")</f>
        <v/>
      </c>
      <c r="Y69" s="19" t="n"/>
      <c r="Z69" s="19">
        <f>IF(Y69="","",Y69-V69)</f>
        <v/>
      </c>
      <c r="AA69" s="21">
        <f>IF(OR(Y69="",Y69=0),"",V69/Y69)</f>
        <v/>
      </c>
      <c r="AB69" s="22">
        <f>IF(OR(Y69="",Y69=0),"",IF((10-W69-X69)&lt;=0,"N/A",Z69/(10-W69-X69)))</f>
        <v/>
      </c>
      <c r="AC69" s="19">
        <f>IF(W69=0,"",ROUND((V69/W69)*10,0))</f>
        <v/>
      </c>
    </row>
    <row r="70">
      <c r="A70" s="18" t="inlineStr">
        <is>
          <t>Fletcher Meese</t>
        </is>
      </c>
      <c r="B70" s="19" t="n"/>
      <c r="C70" s="6" t="n"/>
      <c r="D70" s="19" t="n"/>
      <c r="E70" s="6" t="n"/>
      <c r="F70" s="19" t="n"/>
      <c r="G70" s="6" t="n"/>
      <c r="H70" s="19" t="n"/>
      <c r="I70" s="6" t="n"/>
      <c r="J70" s="19" t="n"/>
      <c r="K70" s="6" t="n"/>
      <c r="L70" s="19" t="n"/>
      <c r="M70" s="6" t="n"/>
      <c r="N70" s="19" t="n"/>
      <c r="O70" s="6" t="n"/>
      <c r="P70" s="19" t="n"/>
      <c r="Q70" s="6" t="n"/>
      <c r="R70" s="19" t="n"/>
      <c r="S70" s="6" t="n"/>
      <c r="T70" s="19" t="n"/>
      <c r="U70" s="6" t="n"/>
      <c r="V70" s="20">
        <f>SUM(B70,D70,F70,H70,J70,L70,N70,P70,R70,T70)</f>
        <v/>
      </c>
      <c r="W70" s="19">
        <f>COUNTIF(C70,"P")+COUNTIF(E70,"P")+COUNTIF(G70,"P")+COUNTIF(I70,"P")+COUNTIF(K70,"P")+COUNTIF(M70,"P")+COUNTIF(O70,"P")+COUNTIF(Q70,"P")+COUNTIF(S70,"P")+COUNTIF(U70,"P")</f>
        <v/>
      </c>
      <c r="X70" s="19">
        <f>COUNTIF(C70,"A")+COUNTIF(E70,"A")+COUNTIF(G70,"A")+COUNTIF(I70,"A")+COUNTIF(K70,"A")+COUNTIF(M70,"A")+COUNTIF(O70,"A")+COUNTIF(Q70,"A")+COUNTIF(S70,"A")+COUNTIF(U70,"A")</f>
        <v/>
      </c>
      <c r="Y70" s="19" t="n"/>
      <c r="Z70" s="19">
        <f>IF(Y70="","",Y70-V70)</f>
        <v/>
      </c>
      <c r="AA70" s="21">
        <f>IF(OR(Y70="",Y70=0),"",V70/Y70)</f>
        <v/>
      </c>
      <c r="AB70" s="22">
        <f>IF(OR(Y70="",Y70=0),"",IF((10-W70-X70)&lt;=0,"N/A",Z70/(10-W70-X70)))</f>
        <v/>
      </c>
      <c r="AC70" s="19">
        <f>IF(W70=0,"",ROUND((V70/W70)*10,0))</f>
        <v/>
      </c>
    </row>
    <row r="71">
      <c r="A71" s="18" t="inlineStr">
        <is>
          <t>Elijah Aldaco</t>
        </is>
      </c>
      <c r="B71" s="19" t="n"/>
      <c r="C71" s="6" t="n"/>
      <c r="D71" s="19" t="n"/>
      <c r="E71" s="6" t="n"/>
      <c r="F71" s="19" t="n"/>
      <c r="G71" s="6" t="n"/>
      <c r="H71" s="19" t="n"/>
      <c r="I71" s="6" t="n"/>
      <c r="J71" s="19" t="n"/>
      <c r="K71" s="6" t="n"/>
      <c r="L71" s="19" t="n"/>
      <c r="M71" s="6" t="n"/>
      <c r="N71" s="19" t="n"/>
      <c r="O71" s="6" t="n"/>
      <c r="P71" s="19" t="n"/>
      <c r="Q71" s="6" t="n"/>
      <c r="R71" s="19" t="n"/>
      <c r="S71" s="6" t="n"/>
      <c r="T71" s="19" t="n"/>
      <c r="U71" s="6" t="n"/>
      <c r="V71" s="20">
        <f>SUM(B71,D71,F71,H71,J71,L71,N71,P71,R71,T71)</f>
        <v/>
      </c>
      <c r="W71" s="19">
        <f>COUNTIF(C71,"P")+COUNTIF(E71,"P")+COUNTIF(G71,"P")+COUNTIF(I71,"P")+COUNTIF(K71,"P")+COUNTIF(M71,"P")+COUNTIF(O71,"P")+COUNTIF(Q71,"P")+COUNTIF(S71,"P")+COUNTIF(U71,"P")</f>
        <v/>
      </c>
      <c r="X71" s="19">
        <f>COUNTIF(C71,"A")+COUNTIF(E71,"A")+COUNTIF(G71,"A")+COUNTIF(I71,"A")+COUNTIF(K71,"A")+COUNTIF(M71,"A")+COUNTIF(O71,"A")+COUNTIF(Q71,"A")+COUNTIF(S71,"A")+COUNTIF(U71,"A")</f>
        <v/>
      </c>
      <c r="Y71" s="19" t="n"/>
      <c r="Z71" s="19">
        <f>IF(Y71="","",Y71-V71)</f>
        <v/>
      </c>
      <c r="AA71" s="21">
        <f>IF(OR(Y71="",Y71=0),"",V71/Y71)</f>
        <v/>
      </c>
      <c r="AB71" s="22">
        <f>IF(OR(Y71="",Y71=0),"",IF((10-W71-X71)&lt;=0,"N/A",Z71/(10-W71-X71)))</f>
        <v/>
      </c>
      <c r="AC71" s="19">
        <f>IF(W71=0,"",ROUND((V71/W71)*10,0))</f>
        <v/>
      </c>
    </row>
    <row r="72">
      <c r="A72" s="18" t="inlineStr">
        <is>
          <t>Cain Gutierrez</t>
        </is>
      </c>
      <c r="B72" s="19" t="n"/>
      <c r="C72" s="6" t="n"/>
      <c r="D72" s="19" t="n"/>
      <c r="E72" s="6" t="n"/>
      <c r="F72" s="19" t="n"/>
      <c r="G72" s="6" t="n"/>
      <c r="H72" s="19" t="n"/>
      <c r="I72" s="6" t="n"/>
      <c r="J72" s="19" t="n"/>
      <c r="K72" s="6" t="n"/>
      <c r="L72" s="19" t="n"/>
      <c r="M72" s="6" t="n"/>
      <c r="N72" s="19" t="n"/>
      <c r="O72" s="6" t="n"/>
      <c r="P72" s="19" t="n"/>
      <c r="Q72" s="6" t="n"/>
      <c r="R72" s="19" t="n"/>
      <c r="S72" s="6" t="n"/>
      <c r="T72" s="19" t="n"/>
      <c r="U72" s="6" t="n"/>
      <c r="V72" s="20">
        <f>SUM(B72,D72,F72,H72,J72,L72,N72,P72,R72,T72)</f>
        <v/>
      </c>
      <c r="W72" s="19">
        <f>COUNTIF(C72,"P")+COUNTIF(E72,"P")+COUNTIF(G72,"P")+COUNTIF(I72,"P")+COUNTIF(K72,"P")+COUNTIF(M72,"P")+COUNTIF(O72,"P")+COUNTIF(Q72,"P")+COUNTIF(S72,"P")+COUNTIF(U72,"P")</f>
        <v/>
      </c>
      <c r="X72" s="19">
        <f>COUNTIF(C72,"A")+COUNTIF(E72,"A")+COUNTIF(G72,"A")+COUNTIF(I72,"A")+COUNTIF(K72,"A")+COUNTIF(M72,"A")+COUNTIF(O72,"A")+COUNTIF(Q72,"A")+COUNTIF(S72,"A")+COUNTIF(U72,"A")</f>
        <v/>
      </c>
      <c r="Y72" s="19" t="n"/>
      <c r="Z72" s="19">
        <f>IF(Y72="","",Y72-V72)</f>
        <v/>
      </c>
      <c r="AA72" s="21">
        <f>IF(OR(Y72="",Y72=0),"",V72/Y72)</f>
        <v/>
      </c>
      <c r="AB72" s="22">
        <f>IF(OR(Y72="",Y72=0),"",IF((10-W72-X72)&lt;=0,"N/A",Z72/(10-W72-X72)))</f>
        <v/>
      </c>
      <c r="AC72" s="19">
        <f>IF(W72=0,"",ROUND((V72/W72)*10,0))</f>
        <v/>
      </c>
    </row>
    <row r="73">
      <c r="A73" s="18" t="inlineStr">
        <is>
          <t>Grayson Barnhart</t>
        </is>
      </c>
      <c r="B73" s="19" t="n"/>
      <c r="C73" s="6" t="n"/>
      <c r="D73" s="19" t="n"/>
      <c r="E73" s="6" t="n"/>
      <c r="F73" s="19" t="n"/>
      <c r="G73" s="6" t="n"/>
      <c r="H73" s="19" t="n"/>
      <c r="I73" s="6" t="n"/>
      <c r="J73" s="19" t="n"/>
      <c r="K73" s="6" t="n"/>
      <c r="L73" s="19" t="n"/>
      <c r="M73" s="6" t="n"/>
      <c r="N73" s="19" t="n"/>
      <c r="O73" s="6" t="n"/>
      <c r="P73" s="19" t="n"/>
      <c r="Q73" s="6" t="n"/>
      <c r="R73" s="19" t="n"/>
      <c r="S73" s="6" t="n"/>
      <c r="T73" s="19" t="n"/>
      <c r="U73" s="6" t="n"/>
      <c r="V73" s="20">
        <f>SUM(B73,D73,F73,H73,J73,L73,N73,P73,R73,T73)</f>
        <v/>
      </c>
      <c r="W73" s="19">
        <f>COUNTIF(C73,"P")+COUNTIF(E73,"P")+COUNTIF(G73,"P")+COUNTIF(I73,"P")+COUNTIF(K73,"P")+COUNTIF(M73,"P")+COUNTIF(O73,"P")+COUNTIF(Q73,"P")+COUNTIF(S73,"P")+COUNTIF(U73,"P")</f>
        <v/>
      </c>
      <c r="X73" s="19">
        <f>COUNTIF(C73,"A")+COUNTIF(E73,"A")+COUNTIF(G73,"A")+COUNTIF(I73,"A")+COUNTIF(K73,"A")+COUNTIF(M73,"A")+COUNTIF(O73,"A")+COUNTIF(Q73,"A")+COUNTIF(S73,"A")+COUNTIF(U73,"A")</f>
        <v/>
      </c>
      <c r="Y73" s="19" t="n"/>
      <c r="Z73" s="19">
        <f>IF(Y73="","",Y73-V73)</f>
        <v/>
      </c>
      <c r="AA73" s="21">
        <f>IF(OR(Y73="",Y73=0),"",V73/Y73)</f>
        <v/>
      </c>
      <c r="AB73" s="22">
        <f>IF(OR(Y73="",Y73=0),"",IF((10-W73-X73)&lt;=0,"N/A",Z73/(10-W73-X73)))</f>
        <v/>
      </c>
      <c r="AC73" s="19">
        <f>IF(W73=0,"",ROUND((V73/W73)*10,0))</f>
        <v/>
      </c>
    </row>
    <row r="74">
      <c r="A74" s="18" t="inlineStr">
        <is>
          <t>Abel Abraham</t>
        </is>
      </c>
      <c r="B74" s="19" t="n"/>
      <c r="C74" s="6" t="n"/>
      <c r="D74" s="19" t="n"/>
      <c r="E74" s="6" t="n"/>
      <c r="F74" s="19" t="n"/>
      <c r="G74" s="6" t="n"/>
      <c r="H74" s="19" t="n"/>
      <c r="I74" s="6" t="n"/>
      <c r="J74" s="19" t="n"/>
      <c r="K74" s="6" t="n"/>
      <c r="L74" s="19" t="n"/>
      <c r="M74" s="6" t="n"/>
      <c r="N74" s="19" t="n"/>
      <c r="O74" s="6" t="n"/>
      <c r="P74" s="19" t="n"/>
      <c r="Q74" s="6" t="n"/>
      <c r="R74" s="19" t="n"/>
      <c r="S74" s="6" t="n"/>
      <c r="T74" s="19" t="n"/>
      <c r="U74" s="6" t="n"/>
      <c r="V74" s="20">
        <f>SUM(B74,D74,F74,H74,J74,L74,N74,P74,R74,T74)</f>
        <v/>
      </c>
      <c r="W74" s="19">
        <f>COUNTIF(C74,"P")+COUNTIF(E74,"P")+COUNTIF(G74,"P")+COUNTIF(I74,"P")+COUNTIF(K74,"P")+COUNTIF(M74,"P")+COUNTIF(O74,"P")+COUNTIF(Q74,"P")+COUNTIF(S74,"P")+COUNTIF(U74,"P")</f>
        <v/>
      </c>
      <c r="X74" s="19">
        <f>COUNTIF(C74,"A")+COUNTIF(E74,"A")+COUNTIF(G74,"A")+COUNTIF(I74,"A")+COUNTIF(K74,"A")+COUNTIF(M74,"A")+COUNTIF(O74,"A")+COUNTIF(Q74,"A")+COUNTIF(S74,"A")+COUNTIF(U74,"A")</f>
        <v/>
      </c>
      <c r="Y74" s="19" t="n"/>
      <c r="Z74" s="19">
        <f>IF(Y74="","",Y74-V74)</f>
        <v/>
      </c>
      <c r="AA74" s="21">
        <f>IF(OR(Y74="",Y74=0),"",V74/Y74)</f>
        <v/>
      </c>
      <c r="AB74" s="22">
        <f>IF(OR(Y74="",Y74=0),"",IF((10-W74-X74)&lt;=0,"N/A",Z74/(10-W74-X74)))</f>
        <v/>
      </c>
      <c r="AC74" s="19">
        <f>IF(W74=0,"",ROUND((V74/W74)*10,0))</f>
        <v/>
      </c>
    </row>
    <row r="75">
      <c r="A75" s="18" t="inlineStr">
        <is>
          <t>John Joby</t>
        </is>
      </c>
      <c r="B75" s="19" t="n"/>
      <c r="C75" s="6" t="n"/>
      <c r="D75" s="19" t="n"/>
      <c r="E75" s="6" t="n"/>
      <c r="F75" s="19" t="n"/>
      <c r="G75" s="6" t="n"/>
      <c r="H75" s="19" t="n"/>
      <c r="I75" s="6" t="n"/>
      <c r="J75" s="19" t="n"/>
      <c r="K75" s="6" t="n"/>
      <c r="L75" s="19" t="n"/>
      <c r="M75" s="6" t="n"/>
      <c r="N75" s="19" t="n"/>
      <c r="O75" s="6" t="n"/>
      <c r="P75" s="19" t="n"/>
      <c r="Q75" s="6" t="n"/>
      <c r="R75" s="19" t="n"/>
      <c r="S75" s="6" t="n"/>
      <c r="T75" s="19" t="n"/>
      <c r="U75" s="6" t="n"/>
      <c r="V75" s="20">
        <f>SUM(B75,D75,F75,H75,J75,L75,N75,P75,R75,T75)</f>
        <v/>
      </c>
      <c r="W75" s="19">
        <f>COUNTIF(C75,"P")+COUNTIF(E75,"P")+COUNTIF(G75,"P")+COUNTIF(I75,"P")+COUNTIF(K75,"P")+COUNTIF(M75,"P")+COUNTIF(O75,"P")+COUNTIF(Q75,"P")+COUNTIF(S75,"P")+COUNTIF(U75,"P")</f>
        <v/>
      </c>
      <c r="X75" s="19">
        <f>COUNTIF(C75,"A")+COUNTIF(E75,"A")+COUNTIF(G75,"A")+COUNTIF(I75,"A")+COUNTIF(K75,"A")+COUNTIF(M75,"A")+COUNTIF(O75,"A")+COUNTIF(Q75,"A")+COUNTIF(S75,"A")+COUNTIF(U75,"A")</f>
        <v/>
      </c>
      <c r="Y75" s="19" t="n"/>
      <c r="Z75" s="19">
        <f>IF(Y75="","",Y75-V75)</f>
        <v/>
      </c>
      <c r="AA75" s="21">
        <f>IF(OR(Y75="",Y75=0),"",V75/Y75)</f>
        <v/>
      </c>
      <c r="AB75" s="22">
        <f>IF(OR(Y75="",Y75=0),"",IF((10-W75-X75)&lt;=0,"N/A",Z75/(10-W75-X75)))</f>
        <v/>
      </c>
      <c r="AC75" s="19">
        <f>IF(W75=0,"",ROUND((V75/W75)*10,0))</f>
        <v/>
      </c>
    </row>
    <row r="76">
      <c r="A76" s="18" t="inlineStr">
        <is>
          <t>Jason Bean</t>
        </is>
      </c>
      <c r="B76" s="19" t="n"/>
      <c r="C76" s="6" t="n"/>
      <c r="D76" s="19" t="n"/>
      <c r="E76" s="6" t="n"/>
      <c r="F76" s="19" t="n"/>
      <c r="G76" s="6" t="n"/>
      <c r="H76" s="19" t="n"/>
      <c r="I76" s="6" t="n"/>
      <c r="J76" s="19" t="n"/>
      <c r="K76" s="6" t="n"/>
      <c r="L76" s="19" t="n"/>
      <c r="M76" s="6" t="n"/>
      <c r="N76" s="19" t="n"/>
      <c r="O76" s="6" t="n"/>
      <c r="P76" s="19" t="n"/>
      <c r="Q76" s="6" t="n"/>
      <c r="R76" s="19" t="n"/>
      <c r="S76" s="6" t="n"/>
      <c r="T76" s="19" t="n"/>
      <c r="U76" s="6" t="n"/>
      <c r="V76" s="20">
        <f>SUM(B76,D76,F76,H76,J76,L76,N76,P76,R76,T76)</f>
        <v/>
      </c>
      <c r="W76" s="19">
        <f>COUNTIF(C76,"P")+COUNTIF(E76,"P")+COUNTIF(G76,"P")+COUNTIF(I76,"P")+COUNTIF(K76,"P")+COUNTIF(M76,"P")+COUNTIF(O76,"P")+COUNTIF(Q76,"P")+COUNTIF(S76,"P")+COUNTIF(U76,"P")</f>
        <v/>
      </c>
      <c r="X76" s="19">
        <f>COUNTIF(C76,"A")+COUNTIF(E76,"A")+COUNTIF(G76,"A")+COUNTIF(I76,"A")+COUNTIF(K76,"A")+COUNTIF(M76,"A")+COUNTIF(O76,"A")+COUNTIF(Q76,"A")+COUNTIF(S76,"A")+COUNTIF(U76,"A")</f>
        <v/>
      </c>
      <c r="Y76" s="19" t="n"/>
      <c r="Z76" s="19">
        <f>IF(Y76="","",Y76-V76)</f>
        <v/>
      </c>
      <c r="AA76" s="21">
        <f>IF(OR(Y76="",Y76=0),"",V76/Y76)</f>
        <v/>
      </c>
      <c r="AB76" s="22">
        <f>IF(OR(Y76="",Y76=0),"",IF((10-W76-X76)&lt;=0,"N/A",Z76/(10-W76-X76)))</f>
        <v/>
      </c>
      <c r="AC76" s="19">
        <f>IF(W76=0,"",ROUND((V76/W76)*10,0))</f>
        <v/>
      </c>
    </row>
  </sheetData>
  <mergeCells count="5">
    <mergeCell ref="A41:AC41"/>
    <mergeCell ref="A1:AC1"/>
    <mergeCell ref="A22:AC22"/>
    <mergeCell ref="A3:AC3"/>
    <mergeCell ref="A60:AC60"/>
  </mergeCells>
  <conditionalFormatting sqref="AA5:AA19">
    <cfRule type="cellIs" priority="1" operator="greaterThanOrEqual" dxfId="0">
      <formula>1</formula>
    </cfRule>
    <cfRule type="cellIs" priority="2" operator="between" dxfId="1">
      <formula>0.5</formula>
      <formula>0.9999</formula>
    </cfRule>
    <cfRule type="cellIs" priority="3" operator="lessThan" dxfId="2">
      <formula>0.5</formula>
    </cfRule>
  </conditionalFormatting>
  <conditionalFormatting sqref="V5:V19">
    <cfRule type="expression" priority="4" dxfId="0">
      <formula>AND(V5&gt;=Y5,Y5&lt;&gt;"")</formula>
    </cfRule>
    <cfRule type="expression" priority="5" dxfId="2">
      <formula>AND(V5&lt;Y5,Y5&lt;&gt;"")</formula>
    </cfRule>
  </conditionalFormatting>
  <conditionalFormatting sqref="AB5:AB19">
    <cfRule type="expression" priority="6" dxfId="2">
      <formula>AND(ISNUMBER(AB5),W5&gt;0,AB5&gt;2*(V5/W5))</formula>
    </cfRule>
  </conditionalFormatting>
  <conditionalFormatting sqref="A5:A19">
    <cfRule type="expression" priority="7" dxfId="2">
      <formula>OR(AND(C5="A",E5="A"),AND(E5="A",G5="A"),AND(G5="A",I5="A"),AND(I5="A",K5="A"),AND(K5="A",M5="A"),AND(M5="A",O5="A"),AND(O5="A",Q5="A"),AND(Q5="A",S5="A"),AND(S5="A",U5="A"))</formula>
    </cfRule>
  </conditionalFormatting>
  <conditionalFormatting sqref="AA24:AA38">
    <cfRule type="cellIs" priority="8" operator="greaterThanOrEqual" dxfId="0">
      <formula>1</formula>
    </cfRule>
    <cfRule type="cellIs" priority="9" operator="between" dxfId="1">
      <formula>0.5</formula>
      <formula>0.9999</formula>
    </cfRule>
    <cfRule type="cellIs" priority="10" operator="lessThan" dxfId="2">
      <formula>0.5</formula>
    </cfRule>
  </conditionalFormatting>
  <conditionalFormatting sqref="V24:V38">
    <cfRule type="expression" priority="11" dxfId="0">
      <formula>AND(V24&gt;=Y24,Y24&lt;&gt;"")</formula>
    </cfRule>
    <cfRule type="expression" priority="12" dxfId="2">
      <formula>AND(V24&lt;Y24,Y24&lt;&gt;"")</formula>
    </cfRule>
  </conditionalFormatting>
  <conditionalFormatting sqref="AB24:AB38">
    <cfRule type="expression" priority="13" dxfId="2">
      <formula>AND(ISNUMBER(AB24),W24&gt;0,AB24&gt;2*(V24/W24))</formula>
    </cfRule>
  </conditionalFormatting>
  <conditionalFormatting sqref="A24:A38">
    <cfRule type="expression" priority="14" dxfId="2">
      <formula>OR(AND(C24="A",E24="A"),AND(E24="A",G24="A"),AND(G24="A",I24="A"),AND(I24="A",K24="A"),AND(K24="A",M24="A"),AND(M24="A",O24="A"),AND(O24="A",Q24="A"),AND(Q24="A",S24="A"),AND(S24="A",U24="A"))</formula>
    </cfRule>
  </conditionalFormatting>
  <conditionalFormatting sqref="AA43:AA57">
    <cfRule type="cellIs" priority="15" operator="greaterThanOrEqual" dxfId="0">
      <formula>1</formula>
    </cfRule>
    <cfRule type="cellIs" priority="16" operator="between" dxfId="1">
      <formula>0.5</formula>
      <formula>0.9999</formula>
    </cfRule>
    <cfRule type="cellIs" priority="17" operator="lessThan" dxfId="2">
      <formula>0.5</formula>
    </cfRule>
  </conditionalFormatting>
  <conditionalFormatting sqref="V43:V57">
    <cfRule type="expression" priority="18" dxfId="0">
      <formula>AND(V43&gt;=Y43,Y43&lt;&gt;"")</formula>
    </cfRule>
    <cfRule type="expression" priority="19" dxfId="2">
      <formula>AND(V43&lt;Y43,Y43&lt;&gt;"")</formula>
    </cfRule>
  </conditionalFormatting>
  <conditionalFormatting sqref="AB43:AB57">
    <cfRule type="expression" priority="20" dxfId="2">
      <formula>AND(ISNUMBER(AB43),W43&gt;0,AB43&gt;2*(V43/W43))</formula>
    </cfRule>
  </conditionalFormatting>
  <conditionalFormatting sqref="A43:A57">
    <cfRule type="expression" priority="21" dxfId="2">
      <formula>OR(AND(C43="A",E43="A"),AND(E43="A",G43="A"),AND(G43="A",I43="A"),AND(I43="A",K43="A"),AND(K43="A",M43="A"),AND(M43="A",O43="A"),AND(O43="A",Q43="A"),AND(Q43="A",S43="A"),AND(S43="A",U43="A"))</formula>
    </cfRule>
  </conditionalFormatting>
  <conditionalFormatting sqref="AA62:AA76">
    <cfRule type="cellIs" priority="22" operator="greaterThanOrEqual" dxfId="0">
      <formula>1</formula>
    </cfRule>
    <cfRule type="cellIs" priority="23" operator="between" dxfId="1">
      <formula>0.5</formula>
      <formula>0.9999</formula>
    </cfRule>
    <cfRule type="cellIs" priority="24" operator="lessThan" dxfId="2">
      <formula>0.5</formula>
    </cfRule>
  </conditionalFormatting>
  <conditionalFormatting sqref="V62:V76">
    <cfRule type="expression" priority="25" dxfId="0">
      <formula>AND(V62&gt;=Y62,Y62&lt;&gt;"")</formula>
    </cfRule>
    <cfRule type="expression" priority="26" dxfId="2">
      <formula>AND(V62&lt;Y62,Y62&lt;&gt;"")</formula>
    </cfRule>
  </conditionalFormatting>
  <conditionalFormatting sqref="AB62:AB76">
    <cfRule type="expression" priority="27" dxfId="2">
      <formula>AND(ISNUMBER(AB62),W62&gt;0,AB62&gt;2*(V62/W62))</formula>
    </cfRule>
  </conditionalFormatting>
  <conditionalFormatting sqref="A62:A76">
    <cfRule type="expression" priority="28" dxfId="2">
      <formula>OR(AND(C62="A",E62="A"),AND(E62="A",G62="A"),AND(G62="A",I62="A"),AND(I62="A",K62="A"),AND(K62="A",M62="A"),AND(M62="A",O62="A"),AND(O62="A",Q62="A"),AND(Q62="A",S62="A"),AND(S62="A",U62="A"))</formula>
    </cfRule>
  </conditionalFormatting>
  <dataValidations count="1">
    <dataValidation sqref="C5 C6 C7 C8 C9 C10 C11 C12 C13 C14 C15 C16 C17 C18 C19 C24 C25 C26 C27 C28 C29 C30 C31 C32 C33 C34 C35 C36 C37 C38 C43 C44 C45 C46 C47 C48 C49 C50 C51 C52 C53 C54 C55 C56 C57 C62 C63 C64 C65 C66 C67 C68 C69 C70 C71 C72 C73 C74 C75 C76 E5 E6 E7 E8 E9 E10 E11 E12 E13 E14 E15 E16 E17 E18 E19 E24 E25 E26 E27 E28 E29 E30 E31 E32 E33 E34 E35 E36 E37 E38 E43 E44 E45 E46 E47 E48 E49 E50 E51 E52 E53 E54 E55 E56 E57 E62 E63 E64 E65 E66 E67 E68 E69 E70 E71 E72 E73 E74 E75 E76 G5 G6 G7 G8 G9 G10 G11 G12 G13 G14 G15 G16 G17 G18 G19 G24 G25 G26 G27 G28 G29 G30 G31 G32 G33 G34 G35 G36 G37 G38 G43 G44 G45 G46 G47 G48 G49 G50 G51 G52 G53 G54 G55 G56 G57 G62 G63 G64 G65 G66 G67 G68 G69 G70 G71 G72 G73 G74 G75 G76 I5 I6 I7 I8 I9 I10 I11 I12 I13 I14 I15 I16 I17 I18 I19 I24 I25 I26 I27 I28 I29 I30 I31 I32 I33 I34 I35 I36 I37 I38 I43 I44 I45 I46 I47 I48 I49 I50 I51 I52 I53 I54 I55 I56 I57 I62 I63 I64 I65 I66 I67 I68 I69 I70 I71 I72 I73 I74 I75 I76 K5 K6 K7 K8 K9 K10 K11 K12 K13 K14 K15 K16 K17 K18 K19 K24 K25 K26 K27 K28 K29 K30 K31 K32 K33 K34 K35 K36 K37 K38 K43 K44 K45 K46 K47 K48 K49 K50 K51 K52 K53 K54 K55 K56 K57 K62 K63 K64 K65 K66 K67 K68 K69 K70 K71 K72 K73 K74 K75 K76 M5 M6 M7 M8 M9 M10 M11 M12 M13 M14 M15 M16 M17 M18 M19 M24 M25 M26 M27 M28 M29 M30 M31 M32 M33 M34 M35 M36 M37 M38 M43 M44 M45 M46 M47 M48 M49 M50 M51 M52 M53 M54 M55 M56 M57 M62 M63 M64 M65 M66 M67 M68 M69 M70 M71 M72 M73 M74 M75 M76 O5 O6 O7 O8 O9 O10 O11 O12 O13 O14 O15 O16 O17 O18 O19 O24 O25 O26 O27 O28 O29 O30 O31 O32 O33 O34 O35 O36 O37 O38 O43 O44 O45 O46 O47 O48 O49 O50 O51 O52 O53 O54 O55 O56 O57 O62 O63 O64 O65 O66 O67 O68 O69 O70 O71 O72 O73 O74 O75 O76 Q5 Q6 Q7 Q8 Q9 Q10 Q11 Q12 Q13 Q14 Q15 Q16 Q17 Q18 Q19 Q24 Q25 Q26 Q27 Q28 Q29 Q30 Q31 Q32 Q33 Q34 Q35 Q36 Q37 Q38 Q43 Q44 Q45 Q46 Q47 Q48 Q49 Q50 Q51 Q52 Q53 Q54 Q55 Q56 Q57 Q62 Q63 Q64 Q65 Q66 Q67 Q68 Q69 Q70 Q71 Q72 Q73 Q74 Q75 Q76 S5 S6 S7 S8 S9 S10 S11 S12 S13 S14 S15 S16 S17 S18 S19 S24 S25 S26 S27 S28 S29 S30 S31 S32 S33 S34 S35 S36 S37 S38 S43 S44 S45 S46 S47 S48 S49 S50 S51 S52 S53 S54 S55 S56 S57 S62 S63 S64 S65 S66 S67 S68 S69 S70 S71 S72 S73 S74 S75 S76 U5 U6 U7 U8 U9 U10 U11 U12 U13 U14 U15 U16 U17 U18 U19 U24 U25 U26 U27 U28 U29 U30 U31 U32 U33 U34 U35 U36 U37 U38 U43 U44 U45 U46 U47 U48 U49 U50 U51 U52 U53 U54 U55 U56 U57 U62 U63 U64 U65 U66 U67 U68 U69 U70 U71 U72 U73 U74 U75 U76" showDropDown="0" showInputMessage="0" showErrorMessage="1" allowBlank="1" errorTitle="Invalid" error="Enter P (Present), A (Absent), or R (Rescheduled)" type="list">
      <formula1>"P,A,R"</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8E7CC3"/>
    <outlinePr summaryBelow="1" summaryRight="1"/>
    <pageSetUpPr fitToPage="1"/>
  </sheetPr>
  <dimension ref="A1:AC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c r="A1" s="15" t="inlineStr">
        <is>
          <t>Counseling — SPED Minute Tracker</t>
        </is>
      </c>
    </row>
    <row r="3">
      <c r="A3" s="16" t="inlineStr">
        <is>
          <t>Q1 — Quarter 1</t>
        </is>
      </c>
    </row>
    <row r="4">
      <c r="A4" s="17" t="inlineStr">
        <is>
          <t>Student Name</t>
        </is>
      </c>
      <c r="B4" s="17" t="inlineStr">
        <is>
          <t>Sess 1</t>
        </is>
      </c>
      <c r="C4" s="17" t="inlineStr">
        <is>
          <t>Att 1</t>
        </is>
      </c>
      <c r="D4" s="17" t="inlineStr">
        <is>
          <t>Sess 2</t>
        </is>
      </c>
      <c r="E4" s="17" t="inlineStr">
        <is>
          <t>Att 2</t>
        </is>
      </c>
      <c r="F4" s="17" t="inlineStr">
        <is>
          <t>Sess 3</t>
        </is>
      </c>
      <c r="G4" s="17" t="inlineStr">
        <is>
          <t>Att 3</t>
        </is>
      </c>
      <c r="H4" s="17" t="inlineStr">
        <is>
          <t>Sess 4</t>
        </is>
      </c>
      <c r="I4" s="17" t="inlineStr">
        <is>
          <t>Att 4</t>
        </is>
      </c>
      <c r="J4" s="17" t="inlineStr">
        <is>
          <t>Sess 5</t>
        </is>
      </c>
      <c r="K4" s="17" t="inlineStr">
        <is>
          <t>Att 5</t>
        </is>
      </c>
      <c r="L4" s="17" t="inlineStr">
        <is>
          <t>Sess 6</t>
        </is>
      </c>
      <c r="M4" s="17" t="inlineStr">
        <is>
          <t>Att 6</t>
        </is>
      </c>
      <c r="N4" s="17" t="inlineStr">
        <is>
          <t>Sess 7</t>
        </is>
      </c>
      <c r="O4" s="17" t="inlineStr">
        <is>
          <t>Att 7</t>
        </is>
      </c>
      <c r="P4" s="17" t="inlineStr">
        <is>
          <t>Sess 8</t>
        </is>
      </c>
      <c r="Q4" s="17" t="inlineStr">
        <is>
          <t>Att 8</t>
        </is>
      </c>
      <c r="R4" s="17" t="inlineStr">
        <is>
          <t>Sess 9</t>
        </is>
      </c>
      <c r="S4" s="17" t="inlineStr">
        <is>
          <t>Att 9</t>
        </is>
      </c>
      <c r="T4" s="17" t="inlineStr">
        <is>
          <t>Sess 10</t>
        </is>
      </c>
      <c r="U4" s="17" t="inlineStr">
        <is>
          <t>Att 10</t>
        </is>
      </c>
      <c r="V4" s="17" t="inlineStr">
        <is>
          <t>Min Met</t>
        </is>
      </c>
      <c r="W4" s="17" t="inlineStr">
        <is>
          <t>Sess Att</t>
        </is>
      </c>
      <c r="X4" s="17" t="inlineStr">
        <is>
          <t>Absences</t>
        </is>
      </c>
      <c r="Y4" s="17" t="inlineStr">
        <is>
          <t>IEP Req</t>
        </is>
      </c>
      <c r="Z4" s="17" t="inlineStr">
        <is>
          <t>Min Remain</t>
        </is>
      </c>
      <c r="AA4" s="17" t="inlineStr">
        <is>
          <t>% Complete</t>
        </is>
      </c>
      <c r="AB4" s="17" t="inlineStr">
        <is>
          <t>Pace Needed</t>
        </is>
      </c>
      <c r="AC4" s="17" t="inlineStr">
        <is>
          <t>Projected</t>
        </is>
      </c>
    </row>
    <row r="5">
      <c r="A5" s="18" t="inlineStr">
        <is>
          <t>Raya Hightower</t>
        </is>
      </c>
      <c r="B5" s="19" t="n"/>
      <c r="C5" s="6" t="n"/>
      <c r="D5" s="19" t="n"/>
      <c r="E5" s="6" t="n"/>
      <c r="F5" s="19" t="n"/>
      <c r="G5" s="6" t="n"/>
      <c r="H5" s="19" t="n"/>
      <c r="I5" s="6" t="n"/>
      <c r="J5" s="19" t="n"/>
      <c r="K5" s="6" t="n"/>
      <c r="L5" s="19" t="n"/>
      <c r="M5" s="6" t="n"/>
      <c r="N5" s="19" t="n"/>
      <c r="O5" s="6" t="n"/>
      <c r="P5" s="19" t="n"/>
      <c r="Q5" s="6" t="n"/>
      <c r="R5" s="19" t="n"/>
      <c r="S5" s="6" t="n"/>
      <c r="T5" s="19" t="n"/>
      <c r="U5" s="6" t="n"/>
      <c r="V5" s="20">
        <f>SUM(B5,D5,F5,H5,J5,L5,N5,P5,R5,T5)</f>
        <v/>
      </c>
      <c r="W5" s="19">
        <f>COUNTIF(C5,"P")+COUNTIF(E5,"P")+COUNTIF(G5,"P")+COUNTIF(I5,"P")+COUNTIF(K5,"P")+COUNTIF(M5,"P")+COUNTIF(O5,"P")+COUNTIF(Q5,"P")+COUNTIF(S5,"P")+COUNTIF(U5,"P")</f>
        <v/>
      </c>
      <c r="X5" s="19">
        <f>COUNTIF(C5,"A")+COUNTIF(E5,"A")+COUNTIF(G5,"A")+COUNTIF(I5,"A")+COUNTIF(K5,"A")+COUNTIF(M5,"A")+COUNTIF(O5,"A")+COUNTIF(Q5,"A")+COUNTIF(S5,"A")+COUNTIF(U5,"A")</f>
        <v/>
      </c>
      <c r="Y5" s="19" t="n"/>
      <c r="Z5" s="19">
        <f>IF(Y5="","",Y5-V5)</f>
        <v/>
      </c>
      <c r="AA5" s="21">
        <f>IF(OR(Y5="",Y5=0),"",V5/Y5)</f>
        <v/>
      </c>
      <c r="AB5" s="22">
        <f>IF(OR(Y5="",Y5=0),"",IF((10-W5-X5)&lt;=0,"N/A",Z5/(10-W5-X5)))</f>
        <v/>
      </c>
      <c r="AC5" s="19">
        <f>IF(W5=0,"",ROUND((V5/W5)*10,0))</f>
        <v/>
      </c>
    </row>
    <row r="6">
      <c r="A6" s="18" t="inlineStr">
        <is>
          <t>Anu Vijay Anand</t>
        </is>
      </c>
      <c r="B6" s="19" t="n"/>
      <c r="C6" s="6" t="n"/>
      <c r="D6" s="19" t="n"/>
      <c r="E6" s="6" t="n"/>
      <c r="F6" s="19" t="n"/>
      <c r="G6" s="6" t="n"/>
      <c r="H6" s="19" t="n"/>
      <c r="I6" s="6" t="n"/>
      <c r="J6" s="19" t="n"/>
      <c r="K6" s="6" t="n"/>
      <c r="L6" s="19" t="n"/>
      <c r="M6" s="6" t="n"/>
      <c r="N6" s="19" t="n"/>
      <c r="O6" s="6" t="n"/>
      <c r="P6" s="19" t="n"/>
      <c r="Q6" s="6" t="n"/>
      <c r="R6" s="19" t="n"/>
      <c r="S6" s="6" t="n"/>
      <c r="T6" s="19" t="n"/>
      <c r="U6" s="6" t="n"/>
      <c r="V6" s="20">
        <f>SUM(B6,D6,F6,H6,J6,L6,N6,P6,R6,T6)</f>
        <v/>
      </c>
      <c r="W6" s="19">
        <f>COUNTIF(C6,"P")+COUNTIF(E6,"P")+COUNTIF(G6,"P")+COUNTIF(I6,"P")+COUNTIF(K6,"P")+COUNTIF(M6,"P")+COUNTIF(O6,"P")+COUNTIF(Q6,"P")+COUNTIF(S6,"P")+COUNTIF(U6,"P")</f>
        <v/>
      </c>
      <c r="X6" s="19">
        <f>COUNTIF(C6,"A")+COUNTIF(E6,"A")+COUNTIF(G6,"A")+COUNTIF(I6,"A")+COUNTIF(K6,"A")+COUNTIF(M6,"A")+COUNTIF(O6,"A")+COUNTIF(Q6,"A")+COUNTIF(S6,"A")+COUNTIF(U6,"A")</f>
        <v/>
      </c>
      <c r="Y6" s="19" t="n"/>
      <c r="Z6" s="19">
        <f>IF(Y6="","",Y6-V6)</f>
        <v/>
      </c>
      <c r="AA6" s="21">
        <f>IF(OR(Y6="",Y6=0),"",V6/Y6)</f>
        <v/>
      </c>
      <c r="AB6" s="22">
        <f>IF(OR(Y6="",Y6=0),"",IF((10-W6-X6)&lt;=0,"N/A",Z6/(10-W6-X6)))</f>
        <v/>
      </c>
      <c r="AC6" s="19">
        <f>IF(W6=0,"",ROUND((V6/W6)*10,0))</f>
        <v/>
      </c>
    </row>
    <row r="7">
      <c r="A7" s="18" t="inlineStr">
        <is>
          <t>Aadhya Gone</t>
        </is>
      </c>
      <c r="B7" s="19" t="n"/>
      <c r="C7" s="6" t="n"/>
      <c r="D7" s="19" t="n"/>
      <c r="E7" s="6" t="n"/>
      <c r="F7" s="19" t="n"/>
      <c r="G7" s="6" t="n"/>
      <c r="H7" s="19" t="n"/>
      <c r="I7" s="6" t="n"/>
      <c r="J7" s="19" t="n"/>
      <c r="K7" s="6" t="n"/>
      <c r="L7" s="19" t="n"/>
      <c r="M7" s="6" t="n"/>
      <c r="N7" s="19" t="n"/>
      <c r="O7" s="6" t="n"/>
      <c r="P7" s="19" t="n"/>
      <c r="Q7" s="6" t="n"/>
      <c r="R7" s="19" t="n"/>
      <c r="S7" s="6" t="n"/>
      <c r="T7" s="19" t="n"/>
      <c r="U7" s="6" t="n"/>
      <c r="V7" s="20">
        <f>SUM(B7,D7,F7,H7,J7,L7,N7,P7,R7,T7)</f>
        <v/>
      </c>
      <c r="W7" s="19">
        <f>COUNTIF(C7,"P")+COUNTIF(E7,"P")+COUNTIF(G7,"P")+COUNTIF(I7,"P")+COUNTIF(K7,"P")+COUNTIF(M7,"P")+COUNTIF(O7,"P")+COUNTIF(Q7,"P")+COUNTIF(S7,"P")+COUNTIF(U7,"P")</f>
        <v/>
      </c>
      <c r="X7" s="19">
        <f>COUNTIF(C7,"A")+COUNTIF(E7,"A")+COUNTIF(G7,"A")+COUNTIF(I7,"A")+COUNTIF(K7,"A")+COUNTIF(M7,"A")+COUNTIF(O7,"A")+COUNTIF(Q7,"A")+COUNTIF(S7,"A")+COUNTIF(U7,"A")</f>
        <v/>
      </c>
      <c r="Y7" s="19" t="n"/>
      <c r="Z7" s="19">
        <f>IF(Y7="","",Y7-V7)</f>
        <v/>
      </c>
      <c r="AA7" s="21">
        <f>IF(OR(Y7="",Y7=0),"",V7/Y7)</f>
        <v/>
      </c>
      <c r="AB7" s="22">
        <f>IF(OR(Y7="",Y7=0),"",IF((10-W7-X7)&lt;=0,"N/A",Z7/(10-W7-X7)))</f>
        <v/>
      </c>
      <c r="AC7" s="19">
        <f>IF(W7=0,"",ROUND((V7/W7)*10,0))</f>
        <v/>
      </c>
    </row>
    <row r="8">
      <c r="A8" s="18" t="inlineStr">
        <is>
          <t>Sumeyah Khan</t>
        </is>
      </c>
      <c r="B8" s="19" t="n"/>
      <c r="C8" s="6" t="n"/>
      <c r="D8" s="19" t="n"/>
      <c r="E8" s="6" t="n"/>
      <c r="F8" s="19" t="n"/>
      <c r="G8" s="6" t="n"/>
      <c r="H8" s="19" t="n"/>
      <c r="I8" s="6" t="n"/>
      <c r="J8" s="19" t="n"/>
      <c r="K8" s="6" t="n"/>
      <c r="L8" s="19" t="n"/>
      <c r="M8" s="6" t="n"/>
      <c r="N8" s="19" t="n"/>
      <c r="O8" s="6" t="n"/>
      <c r="P8" s="19" t="n"/>
      <c r="Q8" s="6" t="n"/>
      <c r="R8" s="19" t="n"/>
      <c r="S8" s="6" t="n"/>
      <c r="T8" s="19" t="n"/>
      <c r="U8" s="6" t="n"/>
      <c r="V8" s="20">
        <f>SUM(B8,D8,F8,H8,J8,L8,N8,P8,R8,T8)</f>
        <v/>
      </c>
      <c r="W8" s="19">
        <f>COUNTIF(C8,"P")+COUNTIF(E8,"P")+COUNTIF(G8,"P")+COUNTIF(I8,"P")+COUNTIF(K8,"P")+COUNTIF(M8,"P")+COUNTIF(O8,"P")+COUNTIF(Q8,"P")+COUNTIF(S8,"P")+COUNTIF(U8,"P")</f>
        <v/>
      </c>
      <c r="X8" s="19">
        <f>COUNTIF(C8,"A")+COUNTIF(E8,"A")+COUNTIF(G8,"A")+COUNTIF(I8,"A")+COUNTIF(K8,"A")+COUNTIF(M8,"A")+COUNTIF(O8,"A")+COUNTIF(Q8,"A")+COUNTIF(S8,"A")+COUNTIF(U8,"A")</f>
        <v/>
      </c>
      <c r="Y8" s="19" t="n"/>
      <c r="Z8" s="19">
        <f>IF(Y8="","",Y8-V8)</f>
        <v/>
      </c>
      <c r="AA8" s="21">
        <f>IF(OR(Y8="",Y8=0),"",V8/Y8)</f>
        <v/>
      </c>
      <c r="AB8" s="22">
        <f>IF(OR(Y8="",Y8=0),"",IF((10-W8-X8)&lt;=0,"N/A",Z8/(10-W8-X8)))</f>
        <v/>
      </c>
      <c r="AC8" s="19">
        <f>IF(W8=0,"",ROUND((V8/W8)*10,0))</f>
        <v/>
      </c>
    </row>
    <row r="9">
      <c r="A9" s="18" t="inlineStr">
        <is>
          <t>Maria Mujeeb</t>
        </is>
      </c>
      <c r="B9" s="19" t="n"/>
      <c r="C9" s="6" t="n"/>
      <c r="D9" s="19" t="n"/>
      <c r="E9" s="6" t="n"/>
      <c r="F9" s="19" t="n"/>
      <c r="G9" s="6" t="n"/>
      <c r="H9" s="19" t="n"/>
      <c r="I9" s="6" t="n"/>
      <c r="J9" s="19" t="n"/>
      <c r="K9" s="6" t="n"/>
      <c r="L9" s="19" t="n"/>
      <c r="M9" s="6" t="n"/>
      <c r="N9" s="19" t="n"/>
      <c r="O9" s="6" t="n"/>
      <c r="P9" s="19" t="n"/>
      <c r="Q9" s="6" t="n"/>
      <c r="R9" s="19" t="n"/>
      <c r="S9" s="6" t="n"/>
      <c r="T9" s="19" t="n"/>
      <c r="U9" s="6" t="n"/>
      <c r="V9" s="20">
        <f>SUM(B9,D9,F9,H9,J9,L9,N9,P9,R9,T9)</f>
        <v/>
      </c>
      <c r="W9" s="19">
        <f>COUNTIF(C9,"P")+COUNTIF(E9,"P")+COUNTIF(G9,"P")+COUNTIF(I9,"P")+COUNTIF(K9,"P")+COUNTIF(M9,"P")+COUNTIF(O9,"P")+COUNTIF(Q9,"P")+COUNTIF(S9,"P")+COUNTIF(U9,"P")</f>
        <v/>
      </c>
      <c r="X9" s="19">
        <f>COUNTIF(C9,"A")+COUNTIF(E9,"A")+COUNTIF(G9,"A")+COUNTIF(I9,"A")+COUNTIF(K9,"A")+COUNTIF(M9,"A")+COUNTIF(O9,"A")+COUNTIF(Q9,"A")+COUNTIF(S9,"A")+COUNTIF(U9,"A")</f>
        <v/>
      </c>
      <c r="Y9" s="19" t="n"/>
      <c r="Z9" s="19">
        <f>IF(Y9="","",Y9-V9)</f>
        <v/>
      </c>
      <c r="AA9" s="21">
        <f>IF(OR(Y9="",Y9=0),"",V9/Y9)</f>
        <v/>
      </c>
      <c r="AB9" s="22">
        <f>IF(OR(Y9="",Y9=0),"",IF((10-W9-X9)&lt;=0,"N/A",Z9/(10-W9-X9)))</f>
        <v/>
      </c>
      <c r="AC9" s="19">
        <f>IF(W9=0,"",ROUND((V9/W9)*10,0))</f>
        <v/>
      </c>
    </row>
    <row r="10">
      <c r="A10" s="18" t="inlineStr">
        <is>
          <t>Jace Ratliff</t>
        </is>
      </c>
      <c r="B10" s="19" t="n"/>
      <c r="C10" s="6" t="n"/>
      <c r="D10" s="19" t="n"/>
      <c r="E10" s="6" t="n"/>
      <c r="F10" s="19" t="n"/>
      <c r="G10" s="6" t="n"/>
      <c r="H10" s="19" t="n"/>
      <c r="I10" s="6" t="n"/>
      <c r="J10" s="19" t="n"/>
      <c r="K10" s="6" t="n"/>
      <c r="L10" s="19" t="n"/>
      <c r="M10" s="6" t="n"/>
      <c r="N10" s="19" t="n"/>
      <c r="O10" s="6" t="n"/>
      <c r="P10" s="19" t="n"/>
      <c r="Q10" s="6" t="n"/>
      <c r="R10" s="19" t="n"/>
      <c r="S10" s="6" t="n"/>
      <c r="T10" s="19" t="n"/>
      <c r="U10" s="6" t="n"/>
      <c r="V10" s="20">
        <f>SUM(B10,D10,F10,H10,J10,L10,N10,P10,R10,T10)</f>
        <v/>
      </c>
      <c r="W10" s="19">
        <f>COUNTIF(C10,"P")+COUNTIF(E10,"P")+COUNTIF(G10,"P")+COUNTIF(I10,"P")+COUNTIF(K10,"P")+COUNTIF(M10,"P")+COUNTIF(O10,"P")+COUNTIF(Q10,"P")+COUNTIF(S10,"P")+COUNTIF(U10,"P")</f>
        <v/>
      </c>
      <c r="X10" s="19">
        <f>COUNTIF(C10,"A")+COUNTIF(E10,"A")+COUNTIF(G10,"A")+COUNTIF(I10,"A")+COUNTIF(K10,"A")+COUNTIF(M10,"A")+COUNTIF(O10,"A")+COUNTIF(Q10,"A")+COUNTIF(S10,"A")+COUNTIF(U10,"A")</f>
        <v/>
      </c>
      <c r="Y10" s="19" t="n"/>
      <c r="Z10" s="19">
        <f>IF(Y10="","",Y10-V10)</f>
        <v/>
      </c>
      <c r="AA10" s="21">
        <f>IF(OR(Y10="",Y10=0),"",V10/Y10)</f>
        <v/>
      </c>
      <c r="AB10" s="22">
        <f>IF(OR(Y10="",Y10=0),"",IF((10-W10-X10)&lt;=0,"N/A",Z10/(10-W10-X10)))</f>
        <v/>
      </c>
      <c r="AC10" s="19">
        <f>IF(W10=0,"",ROUND((V10/W10)*10,0))</f>
        <v/>
      </c>
    </row>
    <row r="11">
      <c r="A11" s="18" t="inlineStr">
        <is>
          <t>Evan Allen</t>
        </is>
      </c>
      <c r="B11" s="19" t="n"/>
      <c r="C11" s="6" t="n"/>
      <c r="D11" s="19" t="n"/>
      <c r="E11" s="6" t="n"/>
      <c r="F11" s="19" t="n"/>
      <c r="G11" s="6" t="n"/>
      <c r="H11" s="19" t="n"/>
      <c r="I11" s="6" t="n"/>
      <c r="J11" s="19" t="n"/>
      <c r="K11" s="6" t="n"/>
      <c r="L11" s="19" t="n"/>
      <c r="M11" s="6" t="n"/>
      <c r="N11" s="19" t="n"/>
      <c r="O11" s="6" t="n"/>
      <c r="P11" s="19" t="n"/>
      <c r="Q11" s="6" t="n"/>
      <c r="R11" s="19" t="n"/>
      <c r="S11" s="6" t="n"/>
      <c r="T11" s="19" t="n"/>
      <c r="U11" s="6" t="n"/>
      <c r="V11" s="20">
        <f>SUM(B11,D11,F11,H11,J11,L11,N11,P11,R11,T11)</f>
        <v/>
      </c>
      <c r="W11" s="19">
        <f>COUNTIF(C11,"P")+COUNTIF(E11,"P")+COUNTIF(G11,"P")+COUNTIF(I11,"P")+COUNTIF(K11,"P")+COUNTIF(M11,"P")+COUNTIF(O11,"P")+COUNTIF(Q11,"P")+COUNTIF(S11,"P")+COUNTIF(U11,"P")</f>
        <v/>
      </c>
      <c r="X11" s="19">
        <f>COUNTIF(C11,"A")+COUNTIF(E11,"A")+COUNTIF(G11,"A")+COUNTIF(I11,"A")+COUNTIF(K11,"A")+COUNTIF(M11,"A")+COUNTIF(O11,"A")+COUNTIF(Q11,"A")+COUNTIF(S11,"A")+COUNTIF(U11,"A")</f>
        <v/>
      </c>
      <c r="Y11" s="19" t="n"/>
      <c r="Z11" s="19">
        <f>IF(Y11="","",Y11-V11)</f>
        <v/>
      </c>
      <c r="AA11" s="21">
        <f>IF(OR(Y11="",Y11=0),"",V11/Y11)</f>
        <v/>
      </c>
      <c r="AB11" s="22">
        <f>IF(OR(Y11="",Y11=0),"",IF((10-W11-X11)&lt;=0,"N/A",Z11/(10-W11-X11)))</f>
        <v/>
      </c>
      <c r="AC11" s="19">
        <f>IF(W11=0,"",ROUND((V11/W11)*10,0))</f>
        <v/>
      </c>
    </row>
    <row r="12">
      <c r="A12" s="18" t="inlineStr">
        <is>
          <t>Sai Neelagiri</t>
        </is>
      </c>
      <c r="B12" s="19" t="n"/>
      <c r="C12" s="6" t="n"/>
      <c r="D12" s="19" t="n"/>
      <c r="E12" s="6" t="n"/>
      <c r="F12" s="19" t="n"/>
      <c r="G12" s="6" t="n"/>
      <c r="H12" s="19" t="n"/>
      <c r="I12" s="6" t="n"/>
      <c r="J12" s="19" t="n"/>
      <c r="K12" s="6" t="n"/>
      <c r="L12" s="19" t="n"/>
      <c r="M12" s="6" t="n"/>
      <c r="N12" s="19" t="n"/>
      <c r="O12" s="6" t="n"/>
      <c r="P12" s="19" t="n"/>
      <c r="Q12" s="6" t="n"/>
      <c r="R12" s="19" t="n"/>
      <c r="S12" s="6" t="n"/>
      <c r="T12" s="19" t="n"/>
      <c r="U12" s="6" t="n"/>
      <c r="V12" s="20">
        <f>SUM(B12,D12,F12,H12,J12,L12,N12,P12,R12,T12)</f>
        <v/>
      </c>
      <c r="W12" s="19">
        <f>COUNTIF(C12,"P")+COUNTIF(E12,"P")+COUNTIF(G12,"P")+COUNTIF(I12,"P")+COUNTIF(K12,"P")+COUNTIF(M12,"P")+COUNTIF(O12,"P")+COUNTIF(Q12,"P")+COUNTIF(S12,"P")+COUNTIF(U12,"P")</f>
        <v/>
      </c>
      <c r="X12" s="19">
        <f>COUNTIF(C12,"A")+COUNTIF(E12,"A")+COUNTIF(G12,"A")+COUNTIF(I12,"A")+COUNTIF(K12,"A")+COUNTIF(M12,"A")+COUNTIF(O12,"A")+COUNTIF(Q12,"A")+COUNTIF(S12,"A")+COUNTIF(U12,"A")</f>
        <v/>
      </c>
      <c r="Y12" s="19" t="n"/>
      <c r="Z12" s="19">
        <f>IF(Y12="","",Y12-V12)</f>
        <v/>
      </c>
      <c r="AA12" s="21">
        <f>IF(OR(Y12="",Y12=0),"",V12/Y12)</f>
        <v/>
      </c>
      <c r="AB12" s="22">
        <f>IF(OR(Y12="",Y12=0),"",IF((10-W12-X12)&lt;=0,"N/A",Z12/(10-W12-X12)))</f>
        <v/>
      </c>
      <c r="AC12" s="19">
        <f>IF(W12=0,"",ROUND((V12/W12)*10,0))</f>
        <v/>
      </c>
    </row>
    <row r="13">
      <c r="A13" s="18" t="inlineStr">
        <is>
          <t>Fletcher Meese</t>
        </is>
      </c>
      <c r="B13" s="19" t="n"/>
      <c r="C13" s="6" t="n"/>
      <c r="D13" s="19" t="n"/>
      <c r="E13" s="6" t="n"/>
      <c r="F13" s="19" t="n"/>
      <c r="G13" s="6" t="n"/>
      <c r="H13" s="19" t="n"/>
      <c r="I13" s="6" t="n"/>
      <c r="J13" s="19" t="n"/>
      <c r="K13" s="6" t="n"/>
      <c r="L13" s="19" t="n"/>
      <c r="M13" s="6" t="n"/>
      <c r="N13" s="19" t="n"/>
      <c r="O13" s="6" t="n"/>
      <c r="P13" s="19" t="n"/>
      <c r="Q13" s="6" t="n"/>
      <c r="R13" s="19" t="n"/>
      <c r="S13" s="6" t="n"/>
      <c r="T13" s="19" t="n"/>
      <c r="U13" s="6" t="n"/>
      <c r="V13" s="20">
        <f>SUM(B13,D13,F13,H13,J13,L13,N13,P13,R13,T13)</f>
        <v/>
      </c>
      <c r="W13" s="19">
        <f>COUNTIF(C13,"P")+COUNTIF(E13,"P")+COUNTIF(G13,"P")+COUNTIF(I13,"P")+COUNTIF(K13,"P")+COUNTIF(M13,"P")+COUNTIF(O13,"P")+COUNTIF(Q13,"P")+COUNTIF(S13,"P")+COUNTIF(U13,"P")</f>
        <v/>
      </c>
      <c r="X13" s="19">
        <f>COUNTIF(C13,"A")+COUNTIF(E13,"A")+COUNTIF(G13,"A")+COUNTIF(I13,"A")+COUNTIF(K13,"A")+COUNTIF(M13,"A")+COUNTIF(O13,"A")+COUNTIF(Q13,"A")+COUNTIF(S13,"A")+COUNTIF(U13,"A")</f>
        <v/>
      </c>
      <c r="Y13" s="19" t="n"/>
      <c r="Z13" s="19">
        <f>IF(Y13="","",Y13-V13)</f>
        <v/>
      </c>
      <c r="AA13" s="21">
        <f>IF(OR(Y13="",Y13=0),"",V13/Y13)</f>
        <v/>
      </c>
      <c r="AB13" s="22">
        <f>IF(OR(Y13="",Y13=0),"",IF((10-W13-X13)&lt;=0,"N/A",Z13/(10-W13-X13)))</f>
        <v/>
      </c>
      <c r="AC13" s="19">
        <f>IF(W13=0,"",ROUND((V13/W13)*10,0))</f>
        <v/>
      </c>
    </row>
    <row r="14">
      <c r="A14" s="18" t="inlineStr">
        <is>
          <t>Elijah Aldaco</t>
        </is>
      </c>
      <c r="B14" s="19" t="n"/>
      <c r="C14" s="6" t="n"/>
      <c r="D14" s="19" t="n"/>
      <c r="E14" s="6" t="n"/>
      <c r="F14" s="19" t="n"/>
      <c r="G14" s="6" t="n"/>
      <c r="H14" s="19" t="n"/>
      <c r="I14" s="6" t="n"/>
      <c r="J14" s="19" t="n"/>
      <c r="K14" s="6" t="n"/>
      <c r="L14" s="19" t="n"/>
      <c r="M14" s="6" t="n"/>
      <c r="N14" s="19" t="n"/>
      <c r="O14" s="6" t="n"/>
      <c r="P14" s="19" t="n"/>
      <c r="Q14" s="6" t="n"/>
      <c r="R14" s="19" t="n"/>
      <c r="S14" s="6" t="n"/>
      <c r="T14" s="19" t="n"/>
      <c r="U14" s="6" t="n"/>
      <c r="V14" s="20">
        <f>SUM(B14,D14,F14,H14,J14,L14,N14,P14,R14,T14)</f>
        <v/>
      </c>
      <c r="W14" s="19">
        <f>COUNTIF(C14,"P")+COUNTIF(E14,"P")+COUNTIF(G14,"P")+COUNTIF(I14,"P")+COUNTIF(K14,"P")+COUNTIF(M14,"P")+COUNTIF(O14,"P")+COUNTIF(Q14,"P")+COUNTIF(S14,"P")+COUNTIF(U14,"P")</f>
        <v/>
      </c>
      <c r="X14" s="19">
        <f>COUNTIF(C14,"A")+COUNTIF(E14,"A")+COUNTIF(G14,"A")+COUNTIF(I14,"A")+COUNTIF(K14,"A")+COUNTIF(M14,"A")+COUNTIF(O14,"A")+COUNTIF(Q14,"A")+COUNTIF(S14,"A")+COUNTIF(U14,"A")</f>
        <v/>
      </c>
      <c r="Y14" s="19" t="n"/>
      <c r="Z14" s="19">
        <f>IF(Y14="","",Y14-V14)</f>
        <v/>
      </c>
      <c r="AA14" s="21">
        <f>IF(OR(Y14="",Y14=0),"",V14/Y14)</f>
        <v/>
      </c>
      <c r="AB14" s="22">
        <f>IF(OR(Y14="",Y14=0),"",IF((10-W14-X14)&lt;=0,"N/A",Z14/(10-W14-X14)))</f>
        <v/>
      </c>
      <c r="AC14" s="19">
        <f>IF(W14=0,"",ROUND((V14/W14)*10,0))</f>
        <v/>
      </c>
    </row>
    <row r="15">
      <c r="A15" s="18" t="inlineStr">
        <is>
          <t>Cain Gutierrez</t>
        </is>
      </c>
      <c r="B15" s="19" t="n"/>
      <c r="C15" s="6" t="n"/>
      <c r="D15" s="19" t="n"/>
      <c r="E15" s="6" t="n"/>
      <c r="F15" s="19" t="n"/>
      <c r="G15" s="6" t="n"/>
      <c r="H15" s="19" t="n"/>
      <c r="I15" s="6" t="n"/>
      <c r="J15" s="19" t="n"/>
      <c r="K15" s="6" t="n"/>
      <c r="L15" s="19" t="n"/>
      <c r="M15" s="6" t="n"/>
      <c r="N15" s="19" t="n"/>
      <c r="O15" s="6" t="n"/>
      <c r="P15" s="19" t="n"/>
      <c r="Q15" s="6" t="n"/>
      <c r="R15" s="19" t="n"/>
      <c r="S15" s="6" t="n"/>
      <c r="T15" s="19" t="n"/>
      <c r="U15" s="6" t="n"/>
      <c r="V15" s="20">
        <f>SUM(B15,D15,F15,H15,J15,L15,N15,P15,R15,T15)</f>
        <v/>
      </c>
      <c r="W15" s="19">
        <f>COUNTIF(C15,"P")+COUNTIF(E15,"P")+COUNTIF(G15,"P")+COUNTIF(I15,"P")+COUNTIF(K15,"P")+COUNTIF(M15,"P")+COUNTIF(O15,"P")+COUNTIF(Q15,"P")+COUNTIF(S15,"P")+COUNTIF(U15,"P")</f>
        <v/>
      </c>
      <c r="X15" s="19">
        <f>COUNTIF(C15,"A")+COUNTIF(E15,"A")+COUNTIF(G15,"A")+COUNTIF(I15,"A")+COUNTIF(K15,"A")+COUNTIF(M15,"A")+COUNTIF(O15,"A")+COUNTIF(Q15,"A")+COUNTIF(S15,"A")+COUNTIF(U15,"A")</f>
        <v/>
      </c>
      <c r="Y15" s="19" t="n"/>
      <c r="Z15" s="19">
        <f>IF(Y15="","",Y15-V15)</f>
        <v/>
      </c>
      <c r="AA15" s="21">
        <f>IF(OR(Y15="",Y15=0),"",V15/Y15)</f>
        <v/>
      </c>
      <c r="AB15" s="22">
        <f>IF(OR(Y15="",Y15=0),"",IF((10-W15-X15)&lt;=0,"N/A",Z15/(10-W15-X15)))</f>
        <v/>
      </c>
      <c r="AC15" s="19">
        <f>IF(W15=0,"",ROUND((V15/W15)*10,0))</f>
        <v/>
      </c>
    </row>
    <row r="16">
      <c r="A16" s="18" t="inlineStr">
        <is>
          <t>Grayson Barnhart</t>
        </is>
      </c>
      <c r="B16" s="19" t="n"/>
      <c r="C16" s="6" t="n"/>
      <c r="D16" s="19" t="n"/>
      <c r="E16" s="6" t="n"/>
      <c r="F16" s="19" t="n"/>
      <c r="G16" s="6" t="n"/>
      <c r="H16" s="19" t="n"/>
      <c r="I16" s="6" t="n"/>
      <c r="J16" s="19" t="n"/>
      <c r="K16" s="6" t="n"/>
      <c r="L16" s="19" t="n"/>
      <c r="M16" s="6" t="n"/>
      <c r="N16" s="19" t="n"/>
      <c r="O16" s="6" t="n"/>
      <c r="P16" s="19" t="n"/>
      <c r="Q16" s="6" t="n"/>
      <c r="R16" s="19" t="n"/>
      <c r="S16" s="6" t="n"/>
      <c r="T16" s="19" t="n"/>
      <c r="U16" s="6" t="n"/>
      <c r="V16" s="20">
        <f>SUM(B16,D16,F16,H16,J16,L16,N16,P16,R16,T16)</f>
        <v/>
      </c>
      <c r="W16" s="19">
        <f>COUNTIF(C16,"P")+COUNTIF(E16,"P")+COUNTIF(G16,"P")+COUNTIF(I16,"P")+COUNTIF(K16,"P")+COUNTIF(M16,"P")+COUNTIF(O16,"P")+COUNTIF(Q16,"P")+COUNTIF(S16,"P")+COUNTIF(U16,"P")</f>
        <v/>
      </c>
      <c r="X16" s="19">
        <f>COUNTIF(C16,"A")+COUNTIF(E16,"A")+COUNTIF(G16,"A")+COUNTIF(I16,"A")+COUNTIF(K16,"A")+COUNTIF(M16,"A")+COUNTIF(O16,"A")+COUNTIF(Q16,"A")+COUNTIF(S16,"A")+COUNTIF(U16,"A")</f>
        <v/>
      </c>
      <c r="Y16" s="19" t="n"/>
      <c r="Z16" s="19">
        <f>IF(Y16="","",Y16-V16)</f>
        <v/>
      </c>
      <c r="AA16" s="21">
        <f>IF(OR(Y16="",Y16=0),"",V16/Y16)</f>
        <v/>
      </c>
      <c r="AB16" s="22">
        <f>IF(OR(Y16="",Y16=0),"",IF((10-W16-X16)&lt;=0,"N/A",Z16/(10-W16-X16)))</f>
        <v/>
      </c>
      <c r="AC16" s="19">
        <f>IF(W16=0,"",ROUND((V16/W16)*10,0))</f>
        <v/>
      </c>
    </row>
    <row r="17">
      <c r="A17" s="18" t="inlineStr">
        <is>
          <t>Abel Abraham</t>
        </is>
      </c>
      <c r="B17" s="19" t="n"/>
      <c r="C17" s="6" t="n"/>
      <c r="D17" s="19" t="n"/>
      <c r="E17" s="6" t="n"/>
      <c r="F17" s="19" t="n"/>
      <c r="G17" s="6" t="n"/>
      <c r="H17" s="19" t="n"/>
      <c r="I17" s="6" t="n"/>
      <c r="J17" s="19" t="n"/>
      <c r="K17" s="6" t="n"/>
      <c r="L17" s="19" t="n"/>
      <c r="M17" s="6" t="n"/>
      <c r="N17" s="19" t="n"/>
      <c r="O17" s="6" t="n"/>
      <c r="P17" s="19" t="n"/>
      <c r="Q17" s="6" t="n"/>
      <c r="R17" s="19" t="n"/>
      <c r="S17" s="6" t="n"/>
      <c r="T17" s="19" t="n"/>
      <c r="U17" s="6" t="n"/>
      <c r="V17" s="20">
        <f>SUM(B17,D17,F17,H17,J17,L17,N17,P17,R17,T17)</f>
        <v/>
      </c>
      <c r="W17" s="19">
        <f>COUNTIF(C17,"P")+COUNTIF(E17,"P")+COUNTIF(G17,"P")+COUNTIF(I17,"P")+COUNTIF(K17,"P")+COUNTIF(M17,"P")+COUNTIF(O17,"P")+COUNTIF(Q17,"P")+COUNTIF(S17,"P")+COUNTIF(U17,"P")</f>
        <v/>
      </c>
      <c r="X17" s="19">
        <f>COUNTIF(C17,"A")+COUNTIF(E17,"A")+COUNTIF(G17,"A")+COUNTIF(I17,"A")+COUNTIF(K17,"A")+COUNTIF(M17,"A")+COUNTIF(O17,"A")+COUNTIF(Q17,"A")+COUNTIF(S17,"A")+COUNTIF(U17,"A")</f>
        <v/>
      </c>
      <c r="Y17" s="19" t="n"/>
      <c r="Z17" s="19">
        <f>IF(Y17="","",Y17-V17)</f>
        <v/>
      </c>
      <c r="AA17" s="21">
        <f>IF(OR(Y17="",Y17=0),"",V17/Y17)</f>
        <v/>
      </c>
      <c r="AB17" s="22">
        <f>IF(OR(Y17="",Y17=0),"",IF((10-W17-X17)&lt;=0,"N/A",Z17/(10-W17-X17)))</f>
        <v/>
      </c>
      <c r="AC17" s="19">
        <f>IF(W17=0,"",ROUND((V17/W17)*10,0))</f>
        <v/>
      </c>
    </row>
    <row r="18">
      <c r="A18" s="18" t="inlineStr">
        <is>
          <t>John Joby</t>
        </is>
      </c>
      <c r="B18" s="19" t="n"/>
      <c r="C18" s="6" t="n"/>
      <c r="D18" s="19" t="n"/>
      <c r="E18" s="6" t="n"/>
      <c r="F18" s="19" t="n"/>
      <c r="G18" s="6" t="n"/>
      <c r="H18" s="19" t="n"/>
      <c r="I18" s="6" t="n"/>
      <c r="J18" s="19" t="n"/>
      <c r="K18" s="6" t="n"/>
      <c r="L18" s="19" t="n"/>
      <c r="M18" s="6" t="n"/>
      <c r="N18" s="19" t="n"/>
      <c r="O18" s="6" t="n"/>
      <c r="P18" s="19" t="n"/>
      <c r="Q18" s="6" t="n"/>
      <c r="R18" s="19" t="n"/>
      <c r="S18" s="6" t="n"/>
      <c r="T18" s="19" t="n"/>
      <c r="U18" s="6" t="n"/>
      <c r="V18" s="20">
        <f>SUM(B18,D18,F18,H18,J18,L18,N18,P18,R18,T18)</f>
        <v/>
      </c>
      <c r="W18" s="19">
        <f>COUNTIF(C18,"P")+COUNTIF(E18,"P")+COUNTIF(G18,"P")+COUNTIF(I18,"P")+COUNTIF(K18,"P")+COUNTIF(M18,"P")+COUNTIF(O18,"P")+COUNTIF(Q18,"P")+COUNTIF(S18,"P")+COUNTIF(U18,"P")</f>
        <v/>
      </c>
      <c r="X18" s="19">
        <f>COUNTIF(C18,"A")+COUNTIF(E18,"A")+COUNTIF(G18,"A")+COUNTIF(I18,"A")+COUNTIF(K18,"A")+COUNTIF(M18,"A")+COUNTIF(O18,"A")+COUNTIF(Q18,"A")+COUNTIF(S18,"A")+COUNTIF(U18,"A")</f>
        <v/>
      </c>
      <c r="Y18" s="19" t="n"/>
      <c r="Z18" s="19">
        <f>IF(Y18="","",Y18-V18)</f>
        <v/>
      </c>
      <c r="AA18" s="21">
        <f>IF(OR(Y18="",Y18=0),"",V18/Y18)</f>
        <v/>
      </c>
      <c r="AB18" s="22">
        <f>IF(OR(Y18="",Y18=0),"",IF((10-W18-X18)&lt;=0,"N/A",Z18/(10-W18-X18)))</f>
        <v/>
      </c>
      <c r="AC18" s="19">
        <f>IF(W18=0,"",ROUND((V18/W18)*10,0))</f>
        <v/>
      </c>
    </row>
    <row r="19">
      <c r="A19" s="18" t="inlineStr">
        <is>
          <t>Jason Bean</t>
        </is>
      </c>
      <c r="B19" s="19" t="n"/>
      <c r="C19" s="6" t="n"/>
      <c r="D19" s="19" t="n"/>
      <c r="E19" s="6" t="n"/>
      <c r="F19" s="19" t="n"/>
      <c r="G19" s="6" t="n"/>
      <c r="H19" s="19" t="n"/>
      <c r="I19" s="6" t="n"/>
      <c r="J19" s="19" t="n"/>
      <c r="K19" s="6" t="n"/>
      <c r="L19" s="19" t="n"/>
      <c r="M19" s="6" t="n"/>
      <c r="N19" s="19" t="n"/>
      <c r="O19" s="6" t="n"/>
      <c r="P19" s="19" t="n"/>
      <c r="Q19" s="6" t="n"/>
      <c r="R19" s="19" t="n"/>
      <c r="S19" s="6" t="n"/>
      <c r="T19" s="19" t="n"/>
      <c r="U19" s="6" t="n"/>
      <c r="V19" s="20">
        <f>SUM(B19,D19,F19,H19,J19,L19,N19,P19,R19,T19)</f>
        <v/>
      </c>
      <c r="W19" s="19">
        <f>COUNTIF(C19,"P")+COUNTIF(E19,"P")+COUNTIF(G19,"P")+COUNTIF(I19,"P")+COUNTIF(K19,"P")+COUNTIF(M19,"P")+COUNTIF(O19,"P")+COUNTIF(Q19,"P")+COUNTIF(S19,"P")+COUNTIF(U19,"P")</f>
        <v/>
      </c>
      <c r="X19" s="19">
        <f>COUNTIF(C19,"A")+COUNTIF(E19,"A")+COUNTIF(G19,"A")+COUNTIF(I19,"A")+COUNTIF(K19,"A")+COUNTIF(M19,"A")+COUNTIF(O19,"A")+COUNTIF(Q19,"A")+COUNTIF(S19,"A")+COUNTIF(U19,"A")</f>
        <v/>
      </c>
      <c r="Y19" s="19" t="n"/>
      <c r="Z19" s="19">
        <f>IF(Y19="","",Y19-V19)</f>
        <v/>
      </c>
      <c r="AA19" s="21">
        <f>IF(OR(Y19="",Y19=0),"",V19/Y19)</f>
        <v/>
      </c>
      <c r="AB19" s="22">
        <f>IF(OR(Y19="",Y19=0),"",IF((10-W19-X19)&lt;=0,"N/A",Z19/(10-W19-X19)))</f>
        <v/>
      </c>
      <c r="AC19" s="19">
        <f>IF(W19=0,"",ROUND((V19/W19)*10,0))</f>
        <v/>
      </c>
    </row>
    <row r="22">
      <c r="A22" s="26" t="inlineStr">
        <is>
          <t>Q2 — Quarter 2</t>
        </is>
      </c>
    </row>
    <row r="23">
      <c r="A23" s="17" t="inlineStr">
        <is>
          <t>Student Name</t>
        </is>
      </c>
      <c r="B23" s="17" t="inlineStr">
        <is>
          <t>Sess 1</t>
        </is>
      </c>
      <c r="C23" s="17" t="inlineStr">
        <is>
          <t>Att 1</t>
        </is>
      </c>
      <c r="D23" s="17" t="inlineStr">
        <is>
          <t>Sess 2</t>
        </is>
      </c>
      <c r="E23" s="17" t="inlineStr">
        <is>
          <t>Att 2</t>
        </is>
      </c>
      <c r="F23" s="17" t="inlineStr">
        <is>
          <t>Sess 3</t>
        </is>
      </c>
      <c r="G23" s="17" t="inlineStr">
        <is>
          <t>Att 3</t>
        </is>
      </c>
      <c r="H23" s="17" t="inlineStr">
        <is>
          <t>Sess 4</t>
        </is>
      </c>
      <c r="I23" s="17" t="inlineStr">
        <is>
          <t>Att 4</t>
        </is>
      </c>
      <c r="J23" s="17" t="inlineStr">
        <is>
          <t>Sess 5</t>
        </is>
      </c>
      <c r="K23" s="17" t="inlineStr">
        <is>
          <t>Att 5</t>
        </is>
      </c>
      <c r="L23" s="17" t="inlineStr">
        <is>
          <t>Sess 6</t>
        </is>
      </c>
      <c r="M23" s="17" t="inlineStr">
        <is>
          <t>Att 6</t>
        </is>
      </c>
      <c r="N23" s="17" t="inlineStr">
        <is>
          <t>Sess 7</t>
        </is>
      </c>
      <c r="O23" s="17" t="inlineStr">
        <is>
          <t>Att 7</t>
        </is>
      </c>
      <c r="P23" s="17" t="inlineStr">
        <is>
          <t>Sess 8</t>
        </is>
      </c>
      <c r="Q23" s="17" t="inlineStr">
        <is>
          <t>Att 8</t>
        </is>
      </c>
      <c r="R23" s="17" t="inlineStr">
        <is>
          <t>Sess 9</t>
        </is>
      </c>
      <c r="S23" s="17" t="inlineStr">
        <is>
          <t>Att 9</t>
        </is>
      </c>
      <c r="T23" s="17" t="inlineStr">
        <is>
          <t>Sess 10</t>
        </is>
      </c>
      <c r="U23" s="17" t="inlineStr">
        <is>
          <t>Att 10</t>
        </is>
      </c>
      <c r="V23" s="17" t="inlineStr">
        <is>
          <t>Min Met</t>
        </is>
      </c>
      <c r="W23" s="17" t="inlineStr">
        <is>
          <t>Sess Att</t>
        </is>
      </c>
      <c r="X23" s="17" t="inlineStr">
        <is>
          <t>Absences</t>
        </is>
      </c>
      <c r="Y23" s="17" t="inlineStr">
        <is>
          <t>IEP Req</t>
        </is>
      </c>
      <c r="Z23" s="17" t="inlineStr">
        <is>
          <t>Min Remain</t>
        </is>
      </c>
      <c r="AA23" s="17" t="inlineStr">
        <is>
          <t>% Complete</t>
        </is>
      </c>
      <c r="AB23" s="17" t="inlineStr">
        <is>
          <t>Pace Needed</t>
        </is>
      </c>
      <c r="AC23" s="17" t="inlineStr">
        <is>
          <t>Projected</t>
        </is>
      </c>
    </row>
    <row r="24">
      <c r="A24" s="18" t="inlineStr">
        <is>
          <t>Raya Hightower</t>
        </is>
      </c>
      <c r="B24" s="19" t="n"/>
      <c r="C24" s="6" t="n"/>
      <c r="D24" s="19" t="n"/>
      <c r="E24" s="6" t="n"/>
      <c r="F24" s="19" t="n"/>
      <c r="G24" s="6" t="n"/>
      <c r="H24" s="19" t="n"/>
      <c r="I24" s="6" t="n"/>
      <c r="J24" s="19" t="n"/>
      <c r="K24" s="6" t="n"/>
      <c r="L24" s="19" t="n"/>
      <c r="M24" s="6" t="n"/>
      <c r="N24" s="19" t="n"/>
      <c r="O24" s="6" t="n"/>
      <c r="P24" s="19" t="n"/>
      <c r="Q24" s="6" t="n"/>
      <c r="R24" s="19" t="n"/>
      <c r="S24" s="6" t="n"/>
      <c r="T24" s="19" t="n"/>
      <c r="U24" s="6" t="n"/>
      <c r="V24" s="20">
        <f>SUM(B24,D24,F24,H24,J24,L24,N24,P24,R24,T24)</f>
        <v/>
      </c>
      <c r="W24" s="19">
        <f>COUNTIF(C24,"P")+COUNTIF(E24,"P")+COUNTIF(G24,"P")+COUNTIF(I24,"P")+COUNTIF(K24,"P")+COUNTIF(M24,"P")+COUNTIF(O24,"P")+COUNTIF(Q24,"P")+COUNTIF(S24,"P")+COUNTIF(U24,"P")</f>
        <v/>
      </c>
      <c r="X24" s="19">
        <f>COUNTIF(C24,"A")+COUNTIF(E24,"A")+COUNTIF(G24,"A")+COUNTIF(I24,"A")+COUNTIF(K24,"A")+COUNTIF(M24,"A")+COUNTIF(O24,"A")+COUNTIF(Q24,"A")+COUNTIF(S24,"A")+COUNTIF(U24,"A")</f>
        <v/>
      </c>
      <c r="Y24" s="19" t="n"/>
      <c r="Z24" s="19">
        <f>IF(Y24="","",Y24-V24)</f>
        <v/>
      </c>
      <c r="AA24" s="21">
        <f>IF(OR(Y24="",Y24=0),"",V24/Y24)</f>
        <v/>
      </c>
      <c r="AB24" s="22">
        <f>IF(OR(Y24="",Y24=0),"",IF((10-W24-X24)&lt;=0,"N/A",Z24/(10-W24-X24)))</f>
        <v/>
      </c>
      <c r="AC24" s="19">
        <f>IF(W24=0,"",ROUND((V24/W24)*10,0))</f>
        <v/>
      </c>
    </row>
    <row r="25">
      <c r="A25" s="18" t="inlineStr">
        <is>
          <t>Anu Vijay Anand</t>
        </is>
      </c>
      <c r="B25" s="19" t="n"/>
      <c r="C25" s="6" t="n"/>
      <c r="D25" s="19" t="n"/>
      <c r="E25" s="6" t="n"/>
      <c r="F25" s="19" t="n"/>
      <c r="G25" s="6" t="n"/>
      <c r="H25" s="19" t="n"/>
      <c r="I25" s="6" t="n"/>
      <c r="J25" s="19" t="n"/>
      <c r="K25" s="6" t="n"/>
      <c r="L25" s="19" t="n"/>
      <c r="M25" s="6" t="n"/>
      <c r="N25" s="19" t="n"/>
      <c r="O25" s="6" t="n"/>
      <c r="P25" s="19" t="n"/>
      <c r="Q25" s="6" t="n"/>
      <c r="R25" s="19" t="n"/>
      <c r="S25" s="6" t="n"/>
      <c r="T25" s="19" t="n"/>
      <c r="U25" s="6" t="n"/>
      <c r="V25" s="20">
        <f>SUM(B25,D25,F25,H25,J25,L25,N25,P25,R25,T25)</f>
        <v/>
      </c>
      <c r="W25" s="19">
        <f>COUNTIF(C25,"P")+COUNTIF(E25,"P")+COUNTIF(G25,"P")+COUNTIF(I25,"P")+COUNTIF(K25,"P")+COUNTIF(M25,"P")+COUNTIF(O25,"P")+COUNTIF(Q25,"P")+COUNTIF(S25,"P")+COUNTIF(U25,"P")</f>
        <v/>
      </c>
      <c r="X25" s="19">
        <f>COUNTIF(C25,"A")+COUNTIF(E25,"A")+COUNTIF(G25,"A")+COUNTIF(I25,"A")+COUNTIF(K25,"A")+COUNTIF(M25,"A")+COUNTIF(O25,"A")+COUNTIF(Q25,"A")+COUNTIF(S25,"A")+COUNTIF(U25,"A")</f>
        <v/>
      </c>
      <c r="Y25" s="19" t="n"/>
      <c r="Z25" s="19">
        <f>IF(Y25="","",Y25-V25)</f>
        <v/>
      </c>
      <c r="AA25" s="21">
        <f>IF(OR(Y25="",Y25=0),"",V25/Y25)</f>
        <v/>
      </c>
      <c r="AB25" s="22">
        <f>IF(OR(Y25="",Y25=0),"",IF((10-W25-X25)&lt;=0,"N/A",Z25/(10-W25-X25)))</f>
        <v/>
      </c>
      <c r="AC25" s="19">
        <f>IF(W25=0,"",ROUND((V25/W25)*10,0))</f>
        <v/>
      </c>
    </row>
    <row r="26">
      <c r="A26" s="18" t="inlineStr">
        <is>
          <t>Aadhya Gone</t>
        </is>
      </c>
      <c r="B26" s="19" t="n"/>
      <c r="C26" s="6" t="n"/>
      <c r="D26" s="19" t="n"/>
      <c r="E26" s="6" t="n"/>
      <c r="F26" s="19" t="n"/>
      <c r="G26" s="6" t="n"/>
      <c r="H26" s="19" t="n"/>
      <c r="I26" s="6" t="n"/>
      <c r="J26" s="19" t="n"/>
      <c r="K26" s="6" t="n"/>
      <c r="L26" s="19" t="n"/>
      <c r="M26" s="6" t="n"/>
      <c r="N26" s="19" t="n"/>
      <c r="O26" s="6" t="n"/>
      <c r="P26" s="19" t="n"/>
      <c r="Q26" s="6" t="n"/>
      <c r="R26" s="19" t="n"/>
      <c r="S26" s="6" t="n"/>
      <c r="T26" s="19" t="n"/>
      <c r="U26" s="6" t="n"/>
      <c r="V26" s="20">
        <f>SUM(B26,D26,F26,H26,J26,L26,N26,P26,R26,T26)</f>
        <v/>
      </c>
      <c r="W26" s="19">
        <f>COUNTIF(C26,"P")+COUNTIF(E26,"P")+COUNTIF(G26,"P")+COUNTIF(I26,"P")+COUNTIF(K26,"P")+COUNTIF(M26,"P")+COUNTIF(O26,"P")+COUNTIF(Q26,"P")+COUNTIF(S26,"P")+COUNTIF(U26,"P")</f>
        <v/>
      </c>
      <c r="X26" s="19">
        <f>COUNTIF(C26,"A")+COUNTIF(E26,"A")+COUNTIF(G26,"A")+COUNTIF(I26,"A")+COUNTIF(K26,"A")+COUNTIF(M26,"A")+COUNTIF(O26,"A")+COUNTIF(Q26,"A")+COUNTIF(S26,"A")+COUNTIF(U26,"A")</f>
        <v/>
      </c>
      <c r="Y26" s="19" t="n"/>
      <c r="Z26" s="19">
        <f>IF(Y26="","",Y26-V26)</f>
        <v/>
      </c>
      <c r="AA26" s="21">
        <f>IF(OR(Y26="",Y26=0),"",V26/Y26)</f>
        <v/>
      </c>
      <c r="AB26" s="22">
        <f>IF(OR(Y26="",Y26=0),"",IF((10-W26-X26)&lt;=0,"N/A",Z26/(10-W26-X26)))</f>
        <v/>
      </c>
      <c r="AC26" s="19">
        <f>IF(W26=0,"",ROUND((V26/W26)*10,0))</f>
        <v/>
      </c>
    </row>
    <row r="27">
      <c r="A27" s="18" t="inlineStr">
        <is>
          <t>Sumeyah Khan</t>
        </is>
      </c>
      <c r="B27" s="19" t="n"/>
      <c r="C27" s="6" t="n"/>
      <c r="D27" s="19" t="n"/>
      <c r="E27" s="6" t="n"/>
      <c r="F27" s="19" t="n"/>
      <c r="G27" s="6" t="n"/>
      <c r="H27" s="19" t="n"/>
      <c r="I27" s="6" t="n"/>
      <c r="J27" s="19" t="n"/>
      <c r="K27" s="6" t="n"/>
      <c r="L27" s="19" t="n"/>
      <c r="M27" s="6" t="n"/>
      <c r="N27" s="19" t="n"/>
      <c r="O27" s="6" t="n"/>
      <c r="P27" s="19" t="n"/>
      <c r="Q27" s="6" t="n"/>
      <c r="R27" s="19" t="n"/>
      <c r="S27" s="6" t="n"/>
      <c r="T27" s="19" t="n"/>
      <c r="U27" s="6" t="n"/>
      <c r="V27" s="20">
        <f>SUM(B27,D27,F27,H27,J27,L27,N27,P27,R27,T27)</f>
        <v/>
      </c>
      <c r="W27" s="19">
        <f>COUNTIF(C27,"P")+COUNTIF(E27,"P")+COUNTIF(G27,"P")+COUNTIF(I27,"P")+COUNTIF(K27,"P")+COUNTIF(M27,"P")+COUNTIF(O27,"P")+COUNTIF(Q27,"P")+COUNTIF(S27,"P")+COUNTIF(U27,"P")</f>
        <v/>
      </c>
      <c r="X27" s="19">
        <f>COUNTIF(C27,"A")+COUNTIF(E27,"A")+COUNTIF(G27,"A")+COUNTIF(I27,"A")+COUNTIF(K27,"A")+COUNTIF(M27,"A")+COUNTIF(O27,"A")+COUNTIF(Q27,"A")+COUNTIF(S27,"A")+COUNTIF(U27,"A")</f>
        <v/>
      </c>
      <c r="Y27" s="19" t="n"/>
      <c r="Z27" s="19">
        <f>IF(Y27="","",Y27-V27)</f>
        <v/>
      </c>
      <c r="AA27" s="21">
        <f>IF(OR(Y27="",Y27=0),"",V27/Y27)</f>
        <v/>
      </c>
      <c r="AB27" s="22">
        <f>IF(OR(Y27="",Y27=0),"",IF((10-W27-X27)&lt;=0,"N/A",Z27/(10-W27-X27)))</f>
        <v/>
      </c>
      <c r="AC27" s="19">
        <f>IF(W27=0,"",ROUND((V27/W27)*10,0))</f>
        <v/>
      </c>
    </row>
    <row r="28">
      <c r="A28" s="18" t="inlineStr">
        <is>
          <t>Maria Mujeeb</t>
        </is>
      </c>
      <c r="B28" s="19" t="n"/>
      <c r="C28" s="6" t="n"/>
      <c r="D28" s="19" t="n"/>
      <c r="E28" s="6" t="n"/>
      <c r="F28" s="19" t="n"/>
      <c r="G28" s="6" t="n"/>
      <c r="H28" s="19" t="n"/>
      <c r="I28" s="6" t="n"/>
      <c r="J28" s="19" t="n"/>
      <c r="K28" s="6" t="n"/>
      <c r="L28" s="19" t="n"/>
      <c r="M28" s="6" t="n"/>
      <c r="N28" s="19" t="n"/>
      <c r="O28" s="6" t="n"/>
      <c r="P28" s="19" t="n"/>
      <c r="Q28" s="6" t="n"/>
      <c r="R28" s="19" t="n"/>
      <c r="S28" s="6" t="n"/>
      <c r="T28" s="19" t="n"/>
      <c r="U28" s="6" t="n"/>
      <c r="V28" s="20">
        <f>SUM(B28,D28,F28,H28,J28,L28,N28,P28,R28,T28)</f>
        <v/>
      </c>
      <c r="W28" s="19">
        <f>COUNTIF(C28,"P")+COUNTIF(E28,"P")+COUNTIF(G28,"P")+COUNTIF(I28,"P")+COUNTIF(K28,"P")+COUNTIF(M28,"P")+COUNTIF(O28,"P")+COUNTIF(Q28,"P")+COUNTIF(S28,"P")+COUNTIF(U28,"P")</f>
        <v/>
      </c>
      <c r="X28" s="19">
        <f>COUNTIF(C28,"A")+COUNTIF(E28,"A")+COUNTIF(G28,"A")+COUNTIF(I28,"A")+COUNTIF(K28,"A")+COUNTIF(M28,"A")+COUNTIF(O28,"A")+COUNTIF(Q28,"A")+COUNTIF(S28,"A")+COUNTIF(U28,"A")</f>
        <v/>
      </c>
      <c r="Y28" s="19" t="n"/>
      <c r="Z28" s="19">
        <f>IF(Y28="","",Y28-V28)</f>
        <v/>
      </c>
      <c r="AA28" s="21">
        <f>IF(OR(Y28="",Y28=0),"",V28/Y28)</f>
        <v/>
      </c>
      <c r="AB28" s="22">
        <f>IF(OR(Y28="",Y28=0),"",IF((10-W28-X28)&lt;=0,"N/A",Z28/(10-W28-X28)))</f>
        <v/>
      </c>
      <c r="AC28" s="19">
        <f>IF(W28=0,"",ROUND((V28/W28)*10,0))</f>
        <v/>
      </c>
    </row>
    <row r="29">
      <c r="A29" s="18" t="inlineStr">
        <is>
          <t>Jace Ratliff</t>
        </is>
      </c>
      <c r="B29" s="19" t="n"/>
      <c r="C29" s="6" t="n"/>
      <c r="D29" s="19" t="n"/>
      <c r="E29" s="6" t="n"/>
      <c r="F29" s="19" t="n"/>
      <c r="G29" s="6" t="n"/>
      <c r="H29" s="19" t="n"/>
      <c r="I29" s="6" t="n"/>
      <c r="J29" s="19" t="n"/>
      <c r="K29" s="6" t="n"/>
      <c r="L29" s="19" t="n"/>
      <c r="M29" s="6" t="n"/>
      <c r="N29" s="19" t="n"/>
      <c r="O29" s="6" t="n"/>
      <c r="P29" s="19" t="n"/>
      <c r="Q29" s="6" t="n"/>
      <c r="R29" s="19" t="n"/>
      <c r="S29" s="6" t="n"/>
      <c r="T29" s="19" t="n"/>
      <c r="U29" s="6" t="n"/>
      <c r="V29" s="20">
        <f>SUM(B29,D29,F29,H29,J29,L29,N29,P29,R29,T29)</f>
        <v/>
      </c>
      <c r="W29" s="19">
        <f>COUNTIF(C29,"P")+COUNTIF(E29,"P")+COUNTIF(G29,"P")+COUNTIF(I29,"P")+COUNTIF(K29,"P")+COUNTIF(M29,"P")+COUNTIF(O29,"P")+COUNTIF(Q29,"P")+COUNTIF(S29,"P")+COUNTIF(U29,"P")</f>
        <v/>
      </c>
      <c r="X29" s="19">
        <f>COUNTIF(C29,"A")+COUNTIF(E29,"A")+COUNTIF(G29,"A")+COUNTIF(I29,"A")+COUNTIF(K29,"A")+COUNTIF(M29,"A")+COUNTIF(O29,"A")+COUNTIF(Q29,"A")+COUNTIF(S29,"A")+COUNTIF(U29,"A")</f>
        <v/>
      </c>
      <c r="Y29" s="19" t="n"/>
      <c r="Z29" s="19">
        <f>IF(Y29="","",Y29-V29)</f>
        <v/>
      </c>
      <c r="AA29" s="21">
        <f>IF(OR(Y29="",Y29=0),"",V29/Y29)</f>
        <v/>
      </c>
      <c r="AB29" s="22">
        <f>IF(OR(Y29="",Y29=0),"",IF((10-W29-X29)&lt;=0,"N/A",Z29/(10-W29-X29)))</f>
        <v/>
      </c>
      <c r="AC29" s="19">
        <f>IF(W29=0,"",ROUND((V29/W29)*10,0))</f>
        <v/>
      </c>
    </row>
    <row r="30">
      <c r="A30" s="18" t="inlineStr">
        <is>
          <t>Evan Allen</t>
        </is>
      </c>
      <c r="B30" s="19" t="n"/>
      <c r="C30" s="6" t="n"/>
      <c r="D30" s="19" t="n"/>
      <c r="E30" s="6" t="n"/>
      <c r="F30" s="19" t="n"/>
      <c r="G30" s="6" t="n"/>
      <c r="H30" s="19" t="n"/>
      <c r="I30" s="6" t="n"/>
      <c r="J30" s="19" t="n"/>
      <c r="K30" s="6" t="n"/>
      <c r="L30" s="19" t="n"/>
      <c r="M30" s="6" t="n"/>
      <c r="N30" s="19" t="n"/>
      <c r="O30" s="6" t="n"/>
      <c r="P30" s="19" t="n"/>
      <c r="Q30" s="6" t="n"/>
      <c r="R30" s="19" t="n"/>
      <c r="S30" s="6" t="n"/>
      <c r="T30" s="19" t="n"/>
      <c r="U30" s="6" t="n"/>
      <c r="V30" s="20">
        <f>SUM(B30,D30,F30,H30,J30,L30,N30,P30,R30,T30)</f>
        <v/>
      </c>
      <c r="W30" s="19">
        <f>COUNTIF(C30,"P")+COUNTIF(E30,"P")+COUNTIF(G30,"P")+COUNTIF(I30,"P")+COUNTIF(K30,"P")+COUNTIF(M30,"P")+COUNTIF(O30,"P")+COUNTIF(Q30,"P")+COUNTIF(S30,"P")+COUNTIF(U30,"P")</f>
        <v/>
      </c>
      <c r="X30" s="19">
        <f>COUNTIF(C30,"A")+COUNTIF(E30,"A")+COUNTIF(G30,"A")+COUNTIF(I30,"A")+COUNTIF(K30,"A")+COUNTIF(M30,"A")+COUNTIF(O30,"A")+COUNTIF(Q30,"A")+COUNTIF(S30,"A")+COUNTIF(U30,"A")</f>
        <v/>
      </c>
      <c r="Y30" s="19" t="n"/>
      <c r="Z30" s="19">
        <f>IF(Y30="","",Y30-V30)</f>
        <v/>
      </c>
      <c r="AA30" s="21">
        <f>IF(OR(Y30="",Y30=0),"",V30/Y30)</f>
        <v/>
      </c>
      <c r="AB30" s="22">
        <f>IF(OR(Y30="",Y30=0),"",IF((10-W30-X30)&lt;=0,"N/A",Z30/(10-W30-X30)))</f>
        <v/>
      </c>
      <c r="AC30" s="19">
        <f>IF(W30=0,"",ROUND((V30/W30)*10,0))</f>
        <v/>
      </c>
    </row>
    <row r="31">
      <c r="A31" s="18" t="inlineStr">
        <is>
          <t>Sai Neelagiri</t>
        </is>
      </c>
      <c r="B31" s="19" t="n"/>
      <c r="C31" s="6" t="n"/>
      <c r="D31" s="19" t="n"/>
      <c r="E31" s="6" t="n"/>
      <c r="F31" s="19" t="n"/>
      <c r="G31" s="6" t="n"/>
      <c r="H31" s="19" t="n"/>
      <c r="I31" s="6" t="n"/>
      <c r="J31" s="19" t="n"/>
      <c r="K31" s="6" t="n"/>
      <c r="L31" s="19" t="n"/>
      <c r="M31" s="6" t="n"/>
      <c r="N31" s="19" t="n"/>
      <c r="O31" s="6" t="n"/>
      <c r="P31" s="19" t="n"/>
      <c r="Q31" s="6" t="n"/>
      <c r="R31" s="19" t="n"/>
      <c r="S31" s="6" t="n"/>
      <c r="T31" s="19" t="n"/>
      <c r="U31" s="6" t="n"/>
      <c r="V31" s="20">
        <f>SUM(B31,D31,F31,H31,J31,L31,N31,P31,R31,T31)</f>
        <v/>
      </c>
      <c r="W31" s="19">
        <f>COUNTIF(C31,"P")+COUNTIF(E31,"P")+COUNTIF(G31,"P")+COUNTIF(I31,"P")+COUNTIF(K31,"P")+COUNTIF(M31,"P")+COUNTIF(O31,"P")+COUNTIF(Q31,"P")+COUNTIF(S31,"P")+COUNTIF(U31,"P")</f>
        <v/>
      </c>
      <c r="X31" s="19">
        <f>COUNTIF(C31,"A")+COUNTIF(E31,"A")+COUNTIF(G31,"A")+COUNTIF(I31,"A")+COUNTIF(K31,"A")+COUNTIF(M31,"A")+COUNTIF(O31,"A")+COUNTIF(Q31,"A")+COUNTIF(S31,"A")+COUNTIF(U31,"A")</f>
        <v/>
      </c>
      <c r="Y31" s="19" t="n"/>
      <c r="Z31" s="19">
        <f>IF(Y31="","",Y31-V31)</f>
        <v/>
      </c>
      <c r="AA31" s="21">
        <f>IF(OR(Y31="",Y31=0),"",V31/Y31)</f>
        <v/>
      </c>
      <c r="AB31" s="22">
        <f>IF(OR(Y31="",Y31=0),"",IF((10-W31-X31)&lt;=0,"N/A",Z31/(10-W31-X31)))</f>
        <v/>
      </c>
      <c r="AC31" s="19">
        <f>IF(W31=0,"",ROUND((V31/W31)*10,0))</f>
        <v/>
      </c>
    </row>
    <row r="32">
      <c r="A32" s="18" t="inlineStr">
        <is>
          <t>Fletcher Meese</t>
        </is>
      </c>
      <c r="B32" s="19" t="n"/>
      <c r="C32" s="6" t="n"/>
      <c r="D32" s="19" t="n"/>
      <c r="E32" s="6" t="n"/>
      <c r="F32" s="19" t="n"/>
      <c r="G32" s="6" t="n"/>
      <c r="H32" s="19" t="n"/>
      <c r="I32" s="6" t="n"/>
      <c r="J32" s="19" t="n"/>
      <c r="K32" s="6" t="n"/>
      <c r="L32" s="19" t="n"/>
      <c r="M32" s="6" t="n"/>
      <c r="N32" s="19" t="n"/>
      <c r="O32" s="6" t="n"/>
      <c r="P32" s="19" t="n"/>
      <c r="Q32" s="6" t="n"/>
      <c r="R32" s="19" t="n"/>
      <c r="S32" s="6" t="n"/>
      <c r="T32" s="19" t="n"/>
      <c r="U32" s="6" t="n"/>
      <c r="V32" s="20">
        <f>SUM(B32,D32,F32,H32,J32,L32,N32,P32,R32,T32)</f>
        <v/>
      </c>
      <c r="W32" s="19">
        <f>COUNTIF(C32,"P")+COUNTIF(E32,"P")+COUNTIF(G32,"P")+COUNTIF(I32,"P")+COUNTIF(K32,"P")+COUNTIF(M32,"P")+COUNTIF(O32,"P")+COUNTIF(Q32,"P")+COUNTIF(S32,"P")+COUNTIF(U32,"P")</f>
        <v/>
      </c>
      <c r="X32" s="19">
        <f>COUNTIF(C32,"A")+COUNTIF(E32,"A")+COUNTIF(G32,"A")+COUNTIF(I32,"A")+COUNTIF(K32,"A")+COUNTIF(M32,"A")+COUNTIF(O32,"A")+COUNTIF(Q32,"A")+COUNTIF(S32,"A")+COUNTIF(U32,"A")</f>
        <v/>
      </c>
      <c r="Y32" s="19" t="n"/>
      <c r="Z32" s="19">
        <f>IF(Y32="","",Y32-V32)</f>
        <v/>
      </c>
      <c r="AA32" s="21">
        <f>IF(OR(Y32="",Y32=0),"",V32/Y32)</f>
        <v/>
      </c>
      <c r="AB32" s="22">
        <f>IF(OR(Y32="",Y32=0),"",IF((10-W32-X32)&lt;=0,"N/A",Z32/(10-W32-X32)))</f>
        <v/>
      </c>
      <c r="AC32" s="19">
        <f>IF(W32=0,"",ROUND((V32/W32)*10,0))</f>
        <v/>
      </c>
    </row>
    <row r="33">
      <c r="A33" s="18" t="inlineStr">
        <is>
          <t>Elijah Aldaco</t>
        </is>
      </c>
      <c r="B33" s="19" t="n"/>
      <c r="C33" s="6" t="n"/>
      <c r="D33" s="19" t="n"/>
      <c r="E33" s="6" t="n"/>
      <c r="F33" s="19" t="n"/>
      <c r="G33" s="6" t="n"/>
      <c r="H33" s="19" t="n"/>
      <c r="I33" s="6" t="n"/>
      <c r="J33" s="19" t="n"/>
      <c r="K33" s="6" t="n"/>
      <c r="L33" s="19" t="n"/>
      <c r="M33" s="6" t="n"/>
      <c r="N33" s="19" t="n"/>
      <c r="O33" s="6" t="n"/>
      <c r="P33" s="19" t="n"/>
      <c r="Q33" s="6" t="n"/>
      <c r="R33" s="19" t="n"/>
      <c r="S33" s="6" t="n"/>
      <c r="T33" s="19" t="n"/>
      <c r="U33" s="6" t="n"/>
      <c r="V33" s="20">
        <f>SUM(B33,D33,F33,H33,J33,L33,N33,P33,R33,T33)</f>
        <v/>
      </c>
      <c r="W33" s="19">
        <f>COUNTIF(C33,"P")+COUNTIF(E33,"P")+COUNTIF(G33,"P")+COUNTIF(I33,"P")+COUNTIF(K33,"P")+COUNTIF(M33,"P")+COUNTIF(O33,"P")+COUNTIF(Q33,"P")+COUNTIF(S33,"P")+COUNTIF(U33,"P")</f>
        <v/>
      </c>
      <c r="X33" s="19">
        <f>COUNTIF(C33,"A")+COUNTIF(E33,"A")+COUNTIF(G33,"A")+COUNTIF(I33,"A")+COUNTIF(K33,"A")+COUNTIF(M33,"A")+COUNTIF(O33,"A")+COUNTIF(Q33,"A")+COUNTIF(S33,"A")+COUNTIF(U33,"A")</f>
        <v/>
      </c>
      <c r="Y33" s="19" t="n"/>
      <c r="Z33" s="19">
        <f>IF(Y33="","",Y33-V33)</f>
        <v/>
      </c>
      <c r="AA33" s="21">
        <f>IF(OR(Y33="",Y33=0),"",V33/Y33)</f>
        <v/>
      </c>
      <c r="AB33" s="22">
        <f>IF(OR(Y33="",Y33=0),"",IF((10-W33-X33)&lt;=0,"N/A",Z33/(10-W33-X33)))</f>
        <v/>
      </c>
      <c r="AC33" s="19">
        <f>IF(W33=0,"",ROUND((V33/W33)*10,0))</f>
        <v/>
      </c>
    </row>
    <row r="34">
      <c r="A34" s="18" t="inlineStr">
        <is>
          <t>Cain Gutierrez</t>
        </is>
      </c>
      <c r="B34" s="19" t="n"/>
      <c r="C34" s="6" t="n"/>
      <c r="D34" s="19" t="n"/>
      <c r="E34" s="6" t="n"/>
      <c r="F34" s="19" t="n"/>
      <c r="G34" s="6" t="n"/>
      <c r="H34" s="19" t="n"/>
      <c r="I34" s="6" t="n"/>
      <c r="J34" s="19" t="n"/>
      <c r="K34" s="6" t="n"/>
      <c r="L34" s="19" t="n"/>
      <c r="M34" s="6" t="n"/>
      <c r="N34" s="19" t="n"/>
      <c r="O34" s="6" t="n"/>
      <c r="P34" s="19" t="n"/>
      <c r="Q34" s="6" t="n"/>
      <c r="R34" s="19" t="n"/>
      <c r="S34" s="6" t="n"/>
      <c r="T34" s="19" t="n"/>
      <c r="U34" s="6" t="n"/>
      <c r="V34" s="20">
        <f>SUM(B34,D34,F34,H34,J34,L34,N34,P34,R34,T34)</f>
        <v/>
      </c>
      <c r="W34" s="19">
        <f>COUNTIF(C34,"P")+COUNTIF(E34,"P")+COUNTIF(G34,"P")+COUNTIF(I34,"P")+COUNTIF(K34,"P")+COUNTIF(M34,"P")+COUNTIF(O34,"P")+COUNTIF(Q34,"P")+COUNTIF(S34,"P")+COUNTIF(U34,"P")</f>
        <v/>
      </c>
      <c r="X34" s="19">
        <f>COUNTIF(C34,"A")+COUNTIF(E34,"A")+COUNTIF(G34,"A")+COUNTIF(I34,"A")+COUNTIF(K34,"A")+COUNTIF(M34,"A")+COUNTIF(O34,"A")+COUNTIF(Q34,"A")+COUNTIF(S34,"A")+COUNTIF(U34,"A")</f>
        <v/>
      </c>
      <c r="Y34" s="19" t="n"/>
      <c r="Z34" s="19">
        <f>IF(Y34="","",Y34-V34)</f>
        <v/>
      </c>
      <c r="AA34" s="21">
        <f>IF(OR(Y34="",Y34=0),"",V34/Y34)</f>
        <v/>
      </c>
      <c r="AB34" s="22">
        <f>IF(OR(Y34="",Y34=0),"",IF((10-W34-X34)&lt;=0,"N/A",Z34/(10-W34-X34)))</f>
        <v/>
      </c>
      <c r="AC34" s="19">
        <f>IF(W34=0,"",ROUND((V34/W34)*10,0))</f>
        <v/>
      </c>
    </row>
    <row r="35">
      <c r="A35" s="18" t="inlineStr">
        <is>
          <t>Grayson Barnhart</t>
        </is>
      </c>
      <c r="B35" s="19" t="n"/>
      <c r="C35" s="6" t="n"/>
      <c r="D35" s="19" t="n"/>
      <c r="E35" s="6" t="n"/>
      <c r="F35" s="19" t="n"/>
      <c r="G35" s="6" t="n"/>
      <c r="H35" s="19" t="n"/>
      <c r="I35" s="6" t="n"/>
      <c r="J35" s="19" t="n"/>
      <c r="K35" s="6" t="n"/>
      <c r="L35" s="19" t="n"/>
      <c r="M35" s="6" t="n"/>
      <c r="N35" s="19" t="n"/>
      <c r="O35" s="6" t="n"/>
      <c r="P35" s="19" t="n"/>
      <c r="Q35" s="6" t="n"/>
      <c r="R35" s="19" t="n"/>
      <c r="S35" s="6" t="n"/>
      <c r="T35" s="19" t="n"/>
      <c r="U35" s="6" t="n"/>
      <c r="V35" s="20">
        <f>SUM(B35,D35,F35,H35,J35,L35,N35,P35,R35,T35)</f>
        <v/>
      </c>
      <c r="W35" s="19">
        <f>COUNTIF(C35,"P")+COUNTIF(E35,"P")+COUNTIF(G35,"P")+COUNTIF(I35,"P")+COUNTIF(K35,"P")+COUNTIF(M35,"P")+COUNTIF(O35,"P")+COUNTIF(Q35,"P")+COUNTIF(S35,"P")+COUNTIF(U35,"P")</f>
        <v/>
      </c>
      <c r="X35" s="19">
        <f>COUNTIF(C35,"A")+COUNTIF(E35,"A")+COUNTIF(G35,"A")+COUNTIF(I35,"A")+COUNTIF(K35,"A")+COUNTIF(M35,"A")+COUNTIF(O35,"A")+COUNTIF(Q35,"A")+COUNTIF(S35,"A")+COUNTIF(U35,"A")</f>
        <v/>
      </c>
      <c r="Y35" s="19" t="n"/>
      <c r="Z35" s="19">
        <f>IF(Y35="","",Y35-V35)</f>
        <v/>
      </c>
      <c r="AA35" s="21">
        <f>IF(OR(Y35="",Y35=0),"",V35/Y35)</f>
        <v/>
      </c>
      <c r="AB35" s="22">
        <f>IF(OR(Y35="",Y35=0),"",IF((10-W35-X35)&lt;=0,"N/A",Z35/(10-W35-X35)))</f>
        <v/>
      </c>
      <c r="AC35" s="19">
        <f>IF(W35=0,"",ROUND((V35/W35)*10,0))</f>
        <v/>
      </c>
    </row>
    <row r="36">
      <c r="A36" s="18" t="inlineStr">
        <is>
          <t>Abel Abraham</t>
        </is>
      </c>
      <c r="B36" s="19" t="n"/>
      <c r="C36" s="6" t="n"/>
      <c r="D36" s="19" t="n"/>
      <c r="E36" s="6" t="n"/>
      <c r="F36" s="19" t="n"/>
      <c r="G36" s="6" t="n"/>
      <c r="H36" s="19" t="n"/>
      <c r="I36" s="6" t="n"/>
      <c r="J36" s="19" t="n"/>
      <c r="K36" s="6" t="n"/>
      <c r="L36" s="19" t="n"/>
      <c r="M36" s="6" t="n"/>
      <c r="N36" s="19" t="n"/>
      <c r="O36" s="6" t="n"/>
      <c r="P36" s="19" t="n"/>
      <c r="Q36" s="6" t="n"/>
      <c r="R36" s="19" t="n"/>
      <c r="S36" s="6" t="n"/>
      <c r="T36" s="19" t="n"/>
      <c r="U36" s="6" t="n"/>
      <c r="V36" s="20">
        <f>SUM(B36,D36,F36,H36,J36,L36,N36,P36,R36,T36)</f>
        <v/>
      </c>
      <c r="W36" s="19">
        <f>COUNTIF(C36,"P")+COUNTIF(E36,"P")+COUNTIF(G36,"P")+COUNTIF(I36,"P")+COUNTIF(K36,"P")+COUNTIF(M36,"P")+COUNTIF(O36,"P")+COUNTIF(Q36,"P")+COUNTIF(S36,"P")+COUNTIF(U36,"P")</f>
        <v/>
      </c>
      <c r="X36" s="19">
        <f>COUNTIF(C36,"A")+COUNTIF(E36,"A")+COUNTIF(G36,"A")+COUNTIF(I36,"A")+COUNTIF(K36,"A")+COUNTIF(M36,"A")+COUNTIF(O36,"A")+COUNTIF(Q36,"A")+COUNTIF(S36,"A")+COUNTIF(U36,"A")</f>
        <v/>
      </c>
      <c r="Y36" s="19" t="n"/>
      <c r="Z36" s="19">
        <f>IF(Y36="","",Y36-V36)</f>
        <v/>
      </c>
      <c r="AA36" s="21">
        <f>IF(OR(Y36="",Y36=0),"",V36/Y36)</f>
        <v/>
      </c>
      <c r="AB36" s="22">
        <f>IF(OR(Y36="",Y36=0),"",IF((10-W36-X36)&lt;=0,"N/A",Z36/(10-W36-X36)))</f>
        <v/>
      </c>
      <c r="AC36" s="19">
        <f>IF(W36=0,"",ROUND((V36/W36)*10,0))</f>
        <v/>
      </c>
    </row>
    <row r="37">
      <c r="A37" s="18" t="inlineStr">
        <is>
          <t>John Joby</t>
        </is>
      </c>
      <c r="B37" s="19" t="n"/>
      <c r="C37" s="6" t="n"/>
      <c r="D37" s="19" t="n"/>
      <c r="E37" s="6" t="n"/>
      <c r="F37" s="19" t="n"/>
      <c r="G37" s="6" t="n"/>
      <c r="H37" s="19" t="n"/>
      <c r="I37" s="6" t="n"/>
      <c r="J37" s="19" t="n"/>
      <c r="K37" s="6" t="n"/>
      <c r="L37" s="19" t="n"/>
      <c r="M37" s="6" t="n"/>
      <c r="N37" s="19" t="n"/>
      <c r="O37" s="6" t="n"/>
      <c r="P37" s="19" t="n"/>
      <c r="Q37" s="6" t="n"/>
      <c r="R37" s="19" t="n"/>
      <c r="S37" s="6" t="n"/>
      <c r="T37" s="19" t="n"/>
      <c r="U37" s="6" t="n"/>
      <c r="V37" s="20">
        <f>SUM(B37,D37,F37,H37,J37,L37,N37,P37,R37,T37)</f>
        <v/>
      </c>
      <c r="W37" s="19">
        <f>COUNTIF(C37,"P")+COUNTIF(E37,"P")+COUNTIF(G37,"P")+COUNTIF(I37,"P")+COUNTIF(K37,"P")+COUNTIF(M37,"P")+COUNTIF(O37,"P")+COUNTIF(Q37,"P")+COUNTIF(S37,"P")+COUNTIF(U37,"P")</f>
        <v/>
      </c>
      <c r="X37" s="19">
        <f>COUNTIF(C37,"A")+COUNTIF(E37,"A")+COUNTIF(G37,"A")+COUNTIF(I37,"A")+COUNTIF(K37,"A")+COUNTIF(M37,"A")+COUNTIF(O37,"A")+COUNTIF(Q37,"A")+COUNTIF(S37,"A")+COUNTIF(U37,"A")</f>
        <v/>
      </c>
      <c r="Y37" s="19" t="n"/>
      <c r="Z37" s="19">
        <f>IF(Y37="","",Y37-V37)</f>
        <v/>
      </c>
      <c r="AA37" s="21">
        <f>IF(OR(Y37="",Y37=0),"",V37/Y37)</f>
        <v/>
      </c>
      <c r="AB37" s="22">
        <f>IF(OR(Y37="",Y37=0),"",IF((10-W37-X37)&lt;=0,"N/A",Z37/(10-W37-X37)))</f>
        <v/>
      </c>
      <c r="AC37" s="19">
        <f>IF(W37=0,"",ROUND((V37/W37)*10,0))</f>
        <v/>
      </c>
    </row>
    <row r="38">
      <c r="A38" s="18" t="inlineStr">
        <is>
          <t>Jason Bean</t>
        </is>
      </c>
      <c r="B38" s="19" t="n"/>
      <c r="C38" s="6" t="n"/>
      <c r="D38" s="19" t="n"/>
      <c r="E38" s="6" t="n"/>
      <c r="F38" s="19" t="n"/>
      <c r="G38" s="6" t="n"/>
      <c r="H38" s="19" t="n"/>
      <c r="I38" s="6" t="n"/>
      <c r="J38" s="19" t="n"/>
      <c r="K38" s="6" t="n"/>
      <c r="L38" s="19" t="n"/>
      <c r="M38" s="6" t="n"/>
      <c r="N38" s="19" t="n"/>
      <c r="O38" s="6" t="n"/>
      <c r="P38" s="19" t="n"/>
      <c r="Q38" s="6" t="n"/>
      <c r="R38" s="19" t="n"/>
      <c r="S38" s="6" t="n"/>
      <c r="T38" s="19" t="n"/>
      <c r="U38" s="6" t="n"/>
      <c r="V38" s="20">
        <f>SUM(B38,D38,F38,H38,J38,L38,N38,P38,R38,T38)</f>
        <v/>
      </c>
      <c r="W38" s="19">
        <f>COUNTIF(C38,"P")+COUNTIF(E38,"P")+COUNTIF(G38,"P")+COUNTIF(I38,"P")+COUNTIF(K38,"P")+COUNTIF(M38,"P")+COUNTIF(O38,"P")+COUNTIF(Q38,"P")+COUNTIF(S38,"P")+COUNTIF(U38,"P")</f>
        <v/>
      </c>
      <c r="X38" s="19">
        <f>COUNTIF(C38,"A")+COUNTIF(E38,"A")+COUNTIF(G38,"A")+COUNTIF(I38,"A")+COUNTIF(K38,"A")+COUNTIF(M38,"A")+COUNTIF(O38,"A")+COUNTIF(Q38,"A")+COUNTIF(S38,"A")+COUNTIF(U38,"A")</f>
        <v/>
      </c>
      <c r="Y38" s="19" t="n"/>
      <c r="Z38" s="19">
        <f>IF(Y38="","",Y38-V38)</f>
        <v/>
      </c>
      <c r="AA38" s="21">
        <f>IF(OR(Y38="",Y38=0),"",V38/Y38)</f>
        <v/>
      </c>
      <c r="AB38" s="22">
        <f>IF(OR(Y38="",Y38=0),"",IF((10-W38-X38)&lt;=0,"N/A",Z38/(10-W38-X38)))</f>
        <v/>
      </c>
      <c r="AC38" s="19">
        <f>IF(W38=0,"",ROUND((V38/W38)*10,0))</f>
        <v/>
      </c>
    </row>
    <row r="41">
      <c r="A41" s="16" t="inlineStr">
        <is>
          <t>Q3 — Quarter 3</t>
        </is>
      </c>
    </row>
    <row r="42">
      <c r="A42" s="17" t="inlineStr">
        <is>
          <t>Student Name</t>
        </is>
      </c>
      <c r="B42" s="17" t="inlineStr">
        <is>
          <t>Sess 1</t>
        </is>
      </c>
      <c r="C42" s="17" t="inlineStr">
        <is>
          <t>Att 1</t>
        </is>
      </c>
      <c r="D42" s="17" t="inlineStr">
        <is>
          <t>Sess 2</t>
        </is>
      </c>
      <c r="E42" s="17" t="inlineStr">
        <is>
          <t>Att 2</t>
        </is>
      </c>
      <c r="F42" s="17" t="inlineStr">
        <is>
          <t>Sess 3</t>
        </is>
      </c>
      <c r="G42" s="17" t="inlineStr">
        <is>
          <t>Att 3</t>
        </is>
      </c>
      <c r="H42" s="17" t="inlineStr">
        <is>
          <t>Sess 4</t>
        </is>
      </c>
      <c r="I42" s="17" t="inlineStr">
        <is>
          <t>Att 4</t>
        </is>
      </c>
      <c r="J42" s="17" t="inlineStr">
        <is>
          <t>Sess 5</t>
        </is>
      </c>
      <c r="K42" s="17" t="inlineStr">
        <is>
          <t>Att 5</t>
        </is>
      </c>
      <c r="L42" s="17" t="inlineStr">
        <is>
          <t>Sess 6</t>
        </is>
      </c>
      <c r="M42" s="17" t="inlineStr">
        <is>
          <t>Att 6</t>
        </is>
      </c>
      <c r="N42" s="17" t="inlineStr">
        <is>
          <t>Sess 7</t>
        </is>
      </c>
      <c r="O42" s="17" t="inlineStr">
        <is>
          <t>Att 7</t>
        </is>
      </c>
      <c r="P42" s="17" t="inlineStr">
        <is>
          <t>Sess 8</t>
        </is>
      </c>
      <c r="Q42" s="17" t="inlineStr">
        <is>
          <t>Att 8</t>
        </is>
      </c>
      <c r="R42" s="17" t="inlineStr">
        <is>
          <t>Sess 9</t>
        </is>
      </c>
      <c r="S42" s="17" t="inlineStr">
        <is>
          <t>Att 9</t>
        </is>
      </c>
      <c r="T42" s="17" t="inlineStr">
        <is>
          <t>Sess 10</t>
        </is>
      </c>
      <c r="U42" s="17" t="inlineStr">
        <is>
          <t>Att 10</t>
        </is>
      </c>
      <c r="V42" s="17" t="inlineStr">
        <is>
          <t>Min Met</t>
        </is>
      </c>
      <c r="W42" s="17" t="inlineStr">
        <is>
          <t>Sess Att</t>
        </is>
      </c>
      <c r="X42" s="17" t="inlineStr">
        <is>
          <t>Absences</t>
        </is>
      </c>
      <c r="Y42" s="17" t="inlineStr">
        <is>
          <t>IEP Req</t>
        </is>
      </c>
      <c r="Z42" s="17" t="inlineStr">
        <is>
          <t>Min Remain</t>
        </is>
      </c>
      <c r="AA42" s="17" t="inlineStr">
        <is>
          <t>% Complete</t>
        </is>
      </c>
      <c r="AB42" s="17" t="inlineStr">
        <is>
          <t>Pace Needed</t>
        </is>
      </c>
      <c r="AC42" s="17" t="inlineStr">
        <is>
          <t>Projected</t>
        </is>
      </c>
    </row>
    <row r="43">
      <c r="A43" s="18" t="inlineStr">
        <is>
          <t>Raya Hightower</t>
        </is>
      </c>
      <c r="B43" s="19" t="n"/>
      <c r="C43" s="6" t="n"/>
      <c r="D43" s="19" t="n"/>
      <c r="E43" s="6" t="n"/>
      <c r="F43" s="19" t="n"/>
      <c r="G43" s="6" t="n"/>
      <c r="H43" s="19" t="n"/>
      <c r="I43" s="6" t="n"/>
      <c r="J43" s="19" t="n"/>
      <c r="K43" s="6" t="n"/>
      <c r="L43" s="19" t="n"/>
      <c r="M43" s="6" t="n"/>
      <c r="N43" s="19" t="n"/>
      <c r="O43" s="6" t="n"/>
      <c r="P43" s="19" t="n"/>
      <c r="Q43" s="6" t="n"/>
      <c r="R43" s="19" t="n"/>
      <c r="S43" s="6" t="n"/>
      <c r="T43" s="19" t="n"/>
      <c r="U43" s="6" t="n"/>
      <c r="V43" s="20">
        <f>SUM(B43,D43,F43,H43,J43,L43,N43,P43,R43,T43)</f>
        <v/>
      </c>
      <c r="W43" s="19">
        <f>COUNTIF(C43,"P")+COUNTIF(E43,"P")+COUNTIF(G43,"P")+COUNTIF(I43,"P")+COUNTIF(K43,"P")+COUNTIF(M43,"P")+COUNTIF(O43,"P")+COUNTIF(Q43,"P")+COUNTIF(S43,"P")+COUNTIF(U43,"P")</f>
        <v/>
      </c>
      <c r="X43" s="19">
        <f>COUNTIF(C43,"A")+COUNTIF(E43,"A")+COUNTIF(G43,"A")+COUNTIF(I43,"A")+COUNTIF(K43,"A")+COUNTIF(M43,"A")+COUNTIF(O43,"A")+COUNTIF(Q43,"A")+COUNTIF(S43,"A")+COUNTIF(U43,"A")</f>
        <v/>
      </c>
      <c r="Y43" s="19" t="n"/>
      <c r="Z43" s="19">
        <f>IF(Y43="","",Y43-V43)</f>
        <v/>
      </c>
      <c r="AA43" s="21">
        <f>IF(OR(Y43="",Y43=0),"",V43/Y43)</f>
        <v/>
      </c>
      <c r="AB43" s="22">
        <f>IF(OR(Y43="",Y43=0),"",IF((10-W43-X43)&lt;=0,"N/A",Z43/(10-W43-X43)))</f>
        <v/>
      </c>
      <c r="AC43" s="19">
        <f>IF(W43=0,"",ROUND((V43/W43)*10,0))</f>
        <v/>
      </c>
    </row>
    <row r="44">
      <c r="A44" s="18" t="inlineStr">
        <is>
          <t>Anu Vijay Anand</t>
        </is>
      </c>
      <c r="B44" s="19" t="n"/>
      <c r="C44" s="6" t="n"/>
      <c r="D44" s="19" t="n"/>
      <c r="E44" s="6" t="n"/>
      <c r="F44" s="19" t="n"/>
      <c r="G44" s="6" t="n"/>
      <c r="H44" s="19" t="n"/>
      <c r="I44" s="6" t="n"/>
      <c r="J44" s="19" t="n"/>
      <c r="K44" s="6" t="n"/>
      <c r="L44" s="19" t="n"/>
      <c r="M44" s="6" t="n"/>
      <c r="N44" s="19" t="n"/>
      <c r="O44" s="6" t="n"/>
      <c r="P44" s="19" t="n"/>
      <c r="Q44" s="6" t="n"/>
      <c r="R44" s="19" t="n"/>
      <c r="S44" s="6" t="n"/>
      <c r="T44" s="19" t="n"/>
      <c r="U44" s="6" t="n"/>
      <c r="V44" s="20">
        <f>SUM(B44,D44,F44,H44,J44,L44,N44,P44,R44,T44)</f>
        <v/>
      </c>
      <c r="W44" s="19">
        <f>COUNTIF(C44,"P")+COUNTIF(E44,"P")+COUNTIF(G44,"P")+COUNTIF(I44,"P")+COUNTIF(K44,"P")+COUNTIF(M44,"P")+COUNTIF(O44,"P")+COUNTIF(Q44,"P")+COUNTIF(S44,"P")+COUNTIF(U44,"P")</f>
        <v/>
      </c>
      <c r="X44" s="19">
        <f>COUNTIF(C44,"A")+COUNTIF(E44,"A")+COUNTIF(G44,"A")+COUNTIF(I44,"A")+COUNTIF(K44,"A")+COUNTIF(M44,"A")+COUNTIF(O44,"A")+COUNTIF(Q44,"A")+COUNTIF(S44,"A")+COUNTIF(U44,"A")</f>
        <v/>
      </c>
      <c r="Y44" s="19" t="n"/>
      <c r="Z44" s="19">
        <f>IF(Y44="","",Y44-V44)</f>
        <v/>
      </c>
      <c r="AA44" s="21">
        <f>IF(OR(Y44="",Y44=0),"",V44/Y44)</f>
        <v/>
      </c>
      <c r="AB44" s="22">
        <f>IF(OR(Y44="",Y44=0),"",IF((10-W44-X44)&lt;=0,"N/A",Z44/(10-W44-X44)))</f>
        <v/>
      </c>
      <c r="AC44" s="19">
        <f>IF(W44=0,"",ROUND((V44/W44)*10,0))</f>
        <v/>
      </c>
    </row>
    <row r="45">
      <c r="A45" s="18" t="inlineStr">
        <is>
          <t>Aadhya Gone</t>
        </is>
      </c>
      <c r="B45" s="19" t="n"/>
      <c r="C45" s="6" t="n"/>
      <c r="D45" s="19" t="n"/>
      <c r="E45" s="6" t="n"/>
      <c r="F45" s="19" t="n"/>
      <c r="G45" s="6" t="n"/>
      <c r="H45" s="19" t="n"/>
      <c r="I45" s="6" t="n"/>
      <c r="J45" s="19" t="n"/>
      <c r="K45" s="6" t="n"/>
      <c r="L45" s="19" t="n"/>
      <c r="M45" s="6" t="n"/>
      <c r="N45" s="19" t="n"/>
      <c r="O45" s="6" t="n"/>
      <c r="P45" s="19" t="n"/>
      <c r="Q45" s="6" t="n"/>
      <c r="R45" s="19" t="n"/>
      <c r="S45" s="6" t="n"/>
      <c r="T45" s="19" t="n"/>
      <c r="U45" s="6" t="n"/>
      <c r="V45" s="20">
        <f>SUM(B45,D45,F45,H45,J45,L45,N45,P45,R45,T45)</f>
        <v/>
      </c>
      <c r="W45" s="19">
        <f>COUNTIF(C45,"P")+COUNTIF(E45,"P")+COUNTIF(G45,"P")+COUNTIF(I45,"P")+COUNTIF(K45,"P")+COUNTIF(M45,"P")+COUNTIF(O45,"P")+COUNTIF(Q45,"P")+COUNTIF(S45,"P")+COUNTIF(U45,"P")</f>
        <v/>
      </c>
      <c r="X45" s="19">
        <f>COUNTIF(C45,"A")+COUNTIF(E45,"A")+COUNTIF(G45,"A")+COUNTIF(I45,"A")+COUNTIF(K45,"A")+COUNTIF(M45,"A")+COUNTIF(O45,"A")+COUNTIF(Q45,"A")+COUNTIF(S45,"A")+COUNTIF(U45,"A")</f>
        <v/>
      </c>
      <c r="Y45" s="19" t="n"/>
      <c r="Z45" s="19">
        <f>IF(Y45="","",Y45-V45)</f>
        <v/>
      </c>
      <c r="AA45" s="21">
        <f>IF(OR(Y45="",Y45=0),"",V45/Y45)</f>
        <v/>
      </c>
      <c r="AB45" s="22">
        <f>IF(OR(Y45="",Y45=0),"",IF((10-W45-X45)&lt;=0,"N/A",Z45/(10-W45-X45)))</f>
        <v/>
      </c>
      <c r="AC45" s="19">
        <f>IF(W45=0,"",ROUND((V45/W45)*10,0))</f>
        <v/>
      </c>
    </row>
    <row r="46">
      <c r="A46" s="18" t="inlineStr">
        <is>
          <t>Sumeyah Khan</t>
        </is>
      </c>
      <c r="B46" s="19" t="n"/>
      <c r="C46" s="6" t="n"/>
      <c r="D46" s="19" t="n"/>
      <c r="E46" s="6" t="n"/>
      <c r="F46" s="19" t="n"/>
      <c r="G46" s="6" t="n"/>
      <c r="H46" s="19" t="n"/>
      <c r="I46" s="6" t="n"/>
      <c r="J46" s="19" t="n"/>
      <c r="K46" s="6" t="n"/>
      <c r="L46" s="19" t="n"/>
      <c r="M46" s="6" t="n"/>
      <c r="N46" s="19" t="n"/>
      <c r="O46" s="6" t="n"/>
      <c r="P46" s="19" t="n"/>
      <c r="Q46" s="6" t="n"/>
      <c r="R46" s="19" t="n"/>
      <c r="S46" s="6" t="n"/>
      <c r="T46" s="19" t="n"/>
      <c r="U46" s="6" t="n"/>
      <c r="V46" s="20">
        <f>SUM(B46,D46,F46,H46,J46,L46,N46,P46,R46,T46)</f>
        <v/>
      </c>
      <c r="W46" s="19">
        <f>COUNTIF(C46,"P")+COUNTIF(E46,"P")+COUNTIF(G46,"P")+COUNTIF(I46,"P")+COUNTIF(K46,"P")+COUNTIF(M46,"P")+COUNTIF(O46,"P")+COUNTIF(Q46,"P")+COUNTIF(S46,"P")+COUNTIF(U46,"P")</f>
        <v/>
      </c>
      <c r="X46" s="19">
        <f>COUNTIF(C46,"A")+COUNTIF(E46,"A")+COUNTIF(G46,"A")+COUNTIF(I46,"A")+COUNTIF(K46,"A")+COUNTIF(M46,"A")+COUNTIF(O46,"A")+COUNTIF(Q46,"A")+COUNTIF(S46,"A")+COUNTIF(U46,"A")</f>
        <v/>
      </c>
      <c r="Y46" s="19" t="n"/>
      <c r="Z46" s="19">
        <f>IF(Y46="","",Y46-V46)</f>
        <v/>
      </c>
      <c r="AA46" s="21">
        <f>IF(OR(Y46="",Y46=0),"",V46/Y46)</f>
        <v/>
      </c>
      <c r="AB46" s="22">
        <f>IF(OR(Y46="",Y46=0),"",IF((10-W46-X46)&lt;=0,"N/A",Z46/(10-W46-X46)))</f>
        <v/>
      </c>
      <c r="AC46" s="19">
        <f>IF(W46=0,"",ROUND((V46/W46)*10,0))</f>
        <v/>
      </c>
    </row>
    <row r="47">
      <c r="A47" s="18" t="inlineStr">
        <is>
          <t>Maria Mujeeb</t>
        </is>
      </c>
      <c r="B47" s="19" t="n"/>
      <c r="C47" s="6" t="n"/>
      <c r="D47" s="19" t="n"/>
      <c r="E47" s="6" t="n"/>
      <c r="F47" s="19" t="n"/>
      <c r="G47" s="6" t="n"/>
      <c r="H47" s="19" t="n"/>
      <c r="I47" s="6" t="n"/>
      <c r="J47" s="19" t="n"/>
      <c r="K47" s="6" t="n"/>
      <c r="L47" s="19" t="n"/>
      <c r="M47" s="6" t="n"/>
      <c r="N47" s="19" t="n"/>
      <c r="O47" s="6" t="n"/>
      <c r="P47" s="19" t="n"/>
      <c r="Q47" s="6" t="n"/>
      <c r="R47" s="19" t="n"/>
      <c r="S47" s="6" t="n"/>
      <c r="T47" s="19" t="n"/>
      <c r="U47" s="6" t="n"/>
      <c r="V47" s="20">
        <f>SUM(B47,D47,F47,H47,J47,L47,N47,P47,R47,T47)</f>
        <v/>
      </c>
      <c r="W47" s="19">
        <f>COUNTIF(C47,"P")+COUNTIF(E47,"P")+COUNTIF(G47,"P")+COUNTIF(I47,"P")+COUNTIF(K47,"P")+COUNTIF(M47,"P")+COUNTIF(O47,"P")+COUNTIF(Q47,"P")+COUNTIF(S47,"P")+COUNTIF(U47,"P")</f>
        <v/>
      </c>
      <c r="X47" s="19">
        <f>COUNTIF(C47,"A")+COUNTIF(E47,"A")+COUNTIF(G47,"A")+COUNTIF(I47,"A")+COUNTIF(K47,"A")+COUNTIF(M47,"A")+COUNTIF(O47,"A")+COUNTIF(Q47,"A")+COUNTIF(S47,"A")+COUNTIF(U47,"A")</f>
        <v/>
      </c>
      <c r="Y47" s="19" t="n"/>
      <c r="Z47" s="19">
        <f>IF(Y47="","",Y47-V47)</f>
        <v/>
      </c>
      <c r="AA47" s="21">
        <f>IF(OR(Y47="",Y47=0),"",V47/Y47)</f>
        <v/>
      </c>
      <c r="AB47" s="22">
        <f>IF(OR(Y47="",Y47=0),"",IF((10-W47-X47)&lt;=0,"N/A",Z47/(10-W47-X47)))</f>
        <v/>
      </c>
      <c r="AC47" s="19">
        <f>IF(W47=0,"",ROUND((V47/W47)*10,0))</f>
        <v/>
      </c>
    </row>
    <row r="48">
      <c r="A48" s="18" t="inlineStr">
        <is>
          <t>Jace Ratliff</t>
        </is>
      </c>
      <c r="B48" s="19" t="n"/>
      <c r="C48" s="6" t="n"/>
      <c r="D48" s="19" t="n"/>
      <c r="E48" s="6" t="n"/>
      <c r="F48" s="19" t="n"/>
      <c r="G48" s="6" t="n"/>
      <c r="H48" s="19" t="n"/>
      <c r="I48" s="6" t="n"/>
      <c r="J48" s="19" t="n"/>
      <c r="K48" s="6" t="n"/>
      <c r="L48" s="19" t="n"/>
      <c r="M48" s="6" t="n"/>
      <c r="N48" s="19" t="n"/>
      <c r="O48" s="6" t="n"/>
      <c r="P48" s="19" t="n"/>
      <c r="Q48" s="6" t="n"/>
      <c r="R48" s="19" t="n"/>
      <c r="S48" s="6" t="n"/>
      <c r="T48" s="19" t="n"/>
      <c r="U48" s="6" t="n"/>
      <c r="V48" s="20">
        <f>SUM(B48,D48,F48,H48,J48,L48,N48,P48,R48,T48)</f>
        <v/>
      </c>
      <c r="W48" s="19">
        <f>COUNTIF(C48,"P")+COUNTIF(E48,"P")+COUNTIF(G48,"P")+COUNTIF(I48,"P")+COUNTIF(K48,"P")+COUNTIF(M48,"P")+COUNTIF(O48,"P")+COUNTIF(Q48,"P")+COUNTIF(S48,"P")+COUNTIF(U48,"P")</f>
        <v/>
      </c>
      <c r="X48" s="19">
        <f>COUNTIF(C48,"A")+COUNTIF(E48,"A")+COUNTIF(G48,"A")+COUNTIF(I48,"A")+COUNTIF(K48,"A")+COUNTIF(M48,"A")+COUNTIF(O48,"A")+COUNTIF(Q48,"A")+COUNTIF(S48,"A")+COUNTIF(U48,"A")</f>
        <v/>
      </c>
      <c r="Y48" s="19" t="n"/>
      <c r="Z48" s="19">
        <f>IF(Y48="","",Y48-V48)</f>
        <v/>
      </c>
      <c r="AA48" s="21">
        <f>IF(OR(Y48="",Y48=0),"",V48/Y48)</f>
        <v/>
      </c>
      <c r="AB48" s="22">
        <f>IF(OR(Y48="",Y48=0),"",IF((10-W48-X48)&lt;=0,"N/A",Z48/(10-W48-X48)))</f>
        <v/>
      </c>
      <c r="AC48" s="19">
        <f>IF(W48=0,"",ROUND((V48/W48)*10,0))</f>
        <v/>
      </c>
    </row>
    <row r="49">
      <c r="A49" s="18" t="inlineStr">
        <is>
          <t>Evan Allen</t>
        </is>
      </c>
      <c r="B49" s="19" t="n"/>
      <c r="C49" s="6" t="n"/>
      <c r="D49" s="19" t="n"/>
      <c r="E49" s="6" t="n"/>
      <c r="F49" s="19" t="n"/>
      <c r="G49" s="6" t="n"/>
      <c r="H49" s="19" t="n"/>
      <c r="I49" s="6" t="n"/>
      <c r="J49" s="19" t="n"/>
      <c r="K49" s="6" t="n"/>
      <c r="L49" s="19" t="n"/>
      <c r="M49" s="6" t="n"/>
      <c r="N49" s="19" t="n"/>
      <c r="O49" s="6" t="n"/>
      <c r="P49" s="19" t="n"/>
      <c r="Q49" s="6" t="n"/>
      <c r="R49" s="19" t="n"/>
      <c r="S49" s="6" t="n"/>
      <c r="T49" s="19" t="n"/>
      <c r="U49" s="6" t="n"/>
      <c r="V49" s="20">
        <f>SUM(B49,D49,F49,H49,J49,L49,N49,P49,R49,T49)</f>
        <v/>
      </c>
      <c r="W49" s="19">
        <f>COUNTIF(C49,"P")+COUNTIF(E49,"P")+COUNTIF(G49,"P")+COUNTIF(I49,"P")+COUNTIF(K49,"P")+COUNTIF(M49,"P")+COUNTIF(O49,"P")+COUNTIF(Q49,"P")+COUNTIF(S49,"P")+COUNTIF(U49,"P")</f>
        <v/>
      </c>
      <c r="X49" s="19">
        <f>COUNTIF(C49,"A")+COUNTIF(E49,"A")+COUNTIF(G49,"A")+COUNTIF(I49,"A")+COUNTIF(K49,"A")+COUNTIF(M49,"A")+COUNTIF(O49,"A")+COUNTIF(Q49,"A")+COUNTIF(S49,"A")+COUNTIF(U49,"A")</f>
        <v/>
      </c>
      <c r="Y49" s="19" t="n"/>
      <c r="Z49" s="19">
        <f>IF(Y49="","",Y49-V49)</f>
        <v/>
      </c>
      <c r="AA49" s="21">
        <f>IF(OR(Y49="",Y49=0),"",V49/Y49)</f>
        <v/>
      </c>
      <c r="AB49" s="22">
        <f>IF(OR(Y49="",Y49=0),"",IF((10-W49-X49)&lt;=0,"N/A",Z49/(10-W49-X49)))</f>
        <v/>
      </c>
      <c r="AC49" s="19">
        <f>IF(W49=0,"",ROUND((V49/W49)*10,0))</f>
        <v/>
      </c>
    </row>
    <row r="50">
      <c r="A50" s="18" t="inlineStr">
        <is>
          <t>Sai Neelagiri</t>
        </is>
      </c>
      <c r="B50" s="19" t="n"/>
      <c r="C50" s="6" t="n"/>
      <c r="D50" s="19" t="n"/>
      <c r="E50" s="6" t="n"/>
      <c r="F50" s="19" t="n"/>
      <c r="G50" s="6" t="n"/>
      <c r="H50" s="19" t="n"/>
      <c r="I50" s="6" t="n"/>
      <c r="J50" s="19" t="n"/>
      <c r="K50" s="6" t="n"/>
      <c r="L50" s="19" t="n"/>
      <c r="M50" s="6" t="n"/>
      <c r="N50" s="19" t="n"/>
      <c r="O50" s="6" t="n"/>
      <c r="P50" s="19" t="n"/>
      <c r="Q50" s="6" t="n"/>
      <c r="R50" s="19" t="n"/>
      <c r="S50" s="6" t="n"/>
      <c r="T50" s="19" t="n"/>
      <c r="U50" s="6" t="n"/>
      <c r="V50" s="20">
        <f>SUM(B50,D50,F50,H50,J50,L50,N50,P50,R50,T50)</f>
        <v/>
      </c>
      <c r="W50" s="19">
        <f>COUNTIF(C50,"P")+COUNTIF(E50,"P")+COUNTIF(G50,"P")+COUNTIF(I50,"P")+COUNTIF(K50,"P")+COUNTIF(M50,"P")+COUNTIF(O50,"P")+COUNTIF(Q50,"P")+COUNTIF(S50,"P")+COUNTIF(U50,"P")</f>
        <v/>
      </c>
      <c r="X50" s="19">
        <f>COUNTIF(C50,"A")+COUNTIF(E50,"A")+COUNTIF(G50,"A")+COUNTIF(I50,"A")+COUNTIF(K50,"A")+COUNTIF(M50,"A")+COUNTIF(O50,"A")+COUNTIF(Q50,"A")+COUNTIF(S50,"A")+COUNTIF(U50,"A")</f>
        <v/>
      </c>
      <c r="Y50" s="19" t="n"/>
      <c r="Z50" s="19">
        <f>IF(Y50="","",Y50-V50)</f>
        <v/>
      </c>
      <c r="AA50" s="21">
        <f>IF(OR(Y50="",Y50=0),"",V50/Y50)</f>
        <v/>
      </c>
      <c r="AB50" s="22">
        <f>IF(OR(Y50="",Y50=0),"",IF((10-W50-X50)&lt;=0,"N/A",Z50/(10-W50-X50)))</f>
        <v/>
      </c>
      <c r="AC50" s="19">
        <f>IF(W50=0,"",ROUND((V50/W50)*10,0))</f>
        <v/>
      </c>
    </row>
    <row r="51">
      <c r="A51" s="18" t="inlineStr">
        <is>
          <t>Fletcher Meese</t>
        </is>
      </c>
      <c r="B51" s="19" t="n"/>
      <c r="C51" s="6" t="n"/>
      <c r="D51" s="19" t="n"/>
      <c r="E51" s="6" t="n"/>
      <c r="F51" s="19" t="n"/>
      <c r="G51" s="6" t="n"/>
      <c r="H51" s="19" t="n"/>
      <c r="I51" s="6" t="n"/>
      <c r="J51" s="19" t="n"/>
      <c r="K51" s="6" t="n"/>
      <c r="L51" s="19" t="n"/>
      <c r="M51" s="6" t="n"/>
      <c r="N51" s="19" t="n"/>
      <c r="O51" s="6" t="n"/>
      <c r="P51" s="19" t="n"/>
      <c r="Q51" s="6" t="n"/>
      <c r="R51" s="19" t="n"/>
      <c r="S51" s="6" t="n"/>
      <c r="T51" s="19" t="n"/>
      <c r="U51" s="6" t="n"/>
      <c r="V51" s="20">
        <f>SUM(B51,D51,F51,H51,J51,L51,N51,P51,R51,T51)</f>
        <v/>
      </c>
      <c r="W51" s="19">
        <f>COUNTIF(C51,"P")+COUNTIF(E51,"P")+COUNTIF(G51,"P")+COUNTIF(I51,"P")+COUNTIF(K51,"P")+COUNTIF(M51,"P")+COUNTIF(O51,"P")+COUNTIF(Q51,"P")+COUNTIF(S51,"P")+COUNTIF(U51,"P")</f>
        <v/>
      </c>
      <c r="X51" s="19">
        <f>COUNTIF(C51,"A")+COUNTIF(E51,"A")+COUNTIF(G51,"A")+COUNTIF(I51,"A")+COUNTIF(K51,"A")+COUNTIF(M51,"A")+COUNTIF(O51,"A")+COUNTIF(Q51,"A")+COUNTIF(S51,"A")+COUNTIF(U51,"A")</f>
        <v/>
      </c>
      <c r="Y51" s="19" t="n"/>
      <c r="Z51" s="19">
        <f>IF(Y51="","",Y51-V51)</f>
        <v/>
      </c>
      <c r="AA51" s="21">
        <f>IF(OR(Y51="",Y51=0),"",V51/Y51)</f>
        <v/>
      </c>
      <c r="AB51" s="22">
        <f>IF(OR(Y51="",Y51=0),"",IF((10-W51-X51)&lt;=0,"N/A",Z51/(10-W51-X51)))</f>
        <v/>
      </c>
      <c r="AC51" s="19">
        <f>IF(W51=0,"",ROUND((V51/W51)*10,0))</f>
        <v/>
      </c>
    </row>
    <row r="52">
      <c r="A52" s="18" t="inlineStr">
        <is>
          <t>Elijah Aldaco</t>
        </is>
      </c>
      <c r="B52" s="19" t="n"/>
      <c r="C52" s="6" t="n"/>
      <c r="D52" s="19" t="n"/>
      <c r="E52" s="6" t="n"/>
      <c r="F52" s="19" t="n"/>
      <c r="G52" s="6" t="n"/>
      <c r="H52" s="19" t="n"/>
      <c r="I52" s="6" t="n"/>
      <c r="J52" s="19" t="n"/>
      <c r="K52" s="6" t="n"/>
      <c r="L52" s="19" t="n"/>
      <c r="M52" s="6" t="n"/>
      <c r="N52" s="19" t="n"/>
      <c r="O52" s="6" t="n"/>
      <c r="P52" s="19" t="n"/>
      <c r="Q52" s="6" t="n"/>
      <c r="R52" s="19" t="n"/>
      <c r="S52" s="6" t="n"/>
      <c r="T52" s="19" t="n"/>
      <c r="U52" s="6" t="n"/>
      <c r="V52" s="20">
        <f>SUM(B52,D52,F52,H52,J52,L52,N52,P52,R52,T52)</f>
        <v/>
      </c>
      <c r="W52" s="19">
        <f>COUNTIF(C52,"P")+COUNTIF(E52,"P")+COUNTIF(G52,"P")+COUNTIF(I52,"P")+COUNTIF(K52,"P")+COUNTIF(M52,"P")+COUNTIF(O52,"P")+COUNTIF(Q52,"P")+COUNTIF(S52,"P")+COUNTIF(U52,"P")</f>
        <v/>
      </c>
      <c r="X52" s="19">
        <f>COUNTIF(C52,"A")+COUNTIF(E52,"A")+COUNTIF(G52,"A")+COUNTIF(I52,"A")+COUNTIF(K52,"A")+COUNTIF(M52,"A")+COUNTIF(O52,"A")+COUNTIF(Q52,"A")+COUNTIF(S52,"A")+COUNTIF(U52,"A")</f>
        <v/>
      </c>
      <c r="Y52" s="19" t="n"/>
      <c r="Z52" s="19">
        <f>IF(Y52="","",Y52-V52)</f>
        <v/>
      </c>
      <c r="AA52" s="21">
        <f>IF(OR(Y52="",Y52=0),"",V52/Y52)</f>
        <v/>
      </c>
      <c r="AB52" s="22">
        <f>IF(OR(Y52="",Y52=0),"",IF((10-W52-X52)&lt;=0,"N/A",Z52/(10-W52-X52)))</f>
        <v/>
      </c>
      <c r="AC52" s="19">
        <f>IF(W52=0,"",ROUND((V52/W52)*10,0))</f>
        <v/>
      </c>
    </row>
    <row r="53">
      <c r="A53" s="18" t="inlineStr">
        <is>
          <t>Cain Gutierrez</t>
        </is>
      </c>
      <c r="B53" s="19" t="n"/>
      <c r="C53" s="6" t="n"/>
      <c r="D53" s="19" t="n"/>
      <c r="E53" s="6" t="n"/>
      <c r="F53" s="19" t="n"/>
      <c r="G53" s="6" t="n"/>
      <c r="H53" s="19" t="n"/>
      <c r="I53" s="6" t="n"/>
      <c r="J53" s="19" t="n"/>
      <c r="K53" s="6" t="n"/>
      <c r="L53" s="19" t="n"/>
      <c r="M53" s="6" t="n"/>
      <c r="N53" s="19" t="n"/>
      <c r="O53" s="6" t="n"/>
      <c r="P53" s="19" t="n"/>
      <c r="Q53" s="6" t="n"/>
      <c r="R53" s="19" t="n"/>
      <c r="S53" s="6" t="n"/>
      <c r="T53" s="19" t="n"/>
      <c r="U53" s="6" t="n"/>
      <c r="V53" s="20">
        <f>SUM(B53,D53,F53,H53,J53,L53,N53,P53,R53,T53)</f>
        <v/>
      </c>
      <c r="W53" s="19">
        <f>COUNTIF(C53,"P")+COUNTIF(E53,"P")+COUNTIF(G53,"P")+COUNTIF(I53,"P")+COUNTIF(K53,"P")+COUNTIF(M53,"P")+COUNTIF(O53,"P")+COUNTIF(Q53,"P")+COUNTIF(S53,"P")+COUNTIF(U53,"P")</f>
        <v/>
      </c>
      <c r="X53" s="19">
        <f>COUNTIF(C53,"A")+COUNTIF(E53,"A")+COUNTIF(G53,"A")+COUNTIF(I53,"A")+COUNTIF(K53,"A")+COUNTIF(M53,"A")+COUNTIF(O53,"A")+COUNTIF(Q53,"A")+COUNTIF(S53,"A")+COUNTIF(U53,"A")</f>
        <v/>
      </c>
      <c r="Y53" s="19" t="n"/>
      <c r="Z53" s="19">
        <f>IF(Y53="","",Y53-V53)</f>
        <v/>
      </c>
      <c r="AA53" s="21">
        <f>IF(OR(Y53="",Y53=0),"",V53/Y53)</f>
        <v/>
      </c>
      <c r="AB53" s="22">
        <f>IF(OR(Y53="",Y53=0),"",IF((10-W53-X53)&lt;=0,"N/A",Z53/(10-W53-X53)))</f>
        <v/>
      </c>
      <c r="AC53" s="19">
        <f>IF(W53=0,"",ROUND((V53/W53)*10,0))</f>
        <v/>
      </c>
    </row>
    <row r="54">
      <c r="A54" s="18" t="inlineStr">
        <is>
          <t>Grayson Barnhart</t>
        </is>
      </c>
      <c r="B54" s="19" t="n"/>
      <c r="C54" s="6" t="n"/>
      <c r="D54" s="19" t="n"/>
      <c r="E54" s="6" t="n"/>
      <c r="F54" s="19" t="n"/>
      <c r="G54" s="6" t="n"/>
      <c r="H54" s="19" t="n"/>
      <c r="I54" s="6" t="n"/>
      <c r="J54" s="19" t="n"/>
      <c r="K54" s="6" t="n"/>
      <c r="L54" s="19" t="n"/>
      <c r="M54" s="6" t="n"/>
      <c r="N54" s="19" t="n"/>
      <c r="O54" s="6" t="n"/>
      <c r="P54" s="19" t="n"/>
      <c r="Q54" s="6" t="n"/>
      <c r="R54" s="19" t="n"/>
      <c r="S54" s="6" t="n"/>
      <c r="T54" s="19" t="n"/>
      <c r="U54" s="6" t="n"/>
      <c r="V54" s="20">
        <f>SUM(B54,D54,F54,H54,J54,L54,N54,P54,R54,T54)</f>
        <v/>
      </c>
      <c r="W54" s="19">
        <f>COUNTIF(C54,"P")+COUNTIF(E54,"P")+COUNTIF(G54,"P")+COUNTIF(I54,"P")+COUNTIF(K54,"P")+COUNTIF(M54,"P")+COUNTIF(O54,"P")+COUNTIF(Q54,"P")+COUNTIF(S54,"P")+COUNTIF(U54,"P")</f>
        <v/>
      </c>
      <c r="X54" s="19">
        <f>COUNTIF(C54,"A")+COUNTIF(E54,"A")+COUNTIF(G54,"A")+COUNTIF(I54,"A")+COUNTIF(K54,"A")+COUNTIF(M54,"A")+COUNTIF(O54,"A")+COUNTIF(Q54,"A")+COUNTIF(S54,"A")+COUNTIF(U54,"A")</f>
        <v/>
      </c>
      <c r="Y54" s="19" t="n"/>
      <c r="Z54" s="19">
        <f>IF(Y54="","",Y54-V54)</f>
        <v/>
      </c>
      <c r="AA54" s="21">
        <f>IF(OR(Y54="",Y54=0),"",V54/Y54)</f>
        <v/>
      </c>
      <c r="AB54" s="22">
        <f>IF(OR(Y54="",Y54=0),"",IF((10-W54-X54)&lt;=0,"N/A",Z54/(10-W54-X54)))</f>
        <v/>
      </c>
      <c r="AC54" s="19">
        <f>IF(W54=0,"",ROUND((V54/W54)*10,0))</f>
        <v/>
      </c>
    </row>
    <row r="55">
      <c r="A55" s="18" t="inlineStr">
        <is>
          <t>Abel Abraham</t>
        </is>
      </c>
      <c r="B55" s="19" t="n"/>
      <c r="C55" s="6" t="n"/>
      <c r="D55" s="19" t="n"/>
      <c r="E55" s="6" t="n"/>
      <c r="F55" s="19" t="n"/>
      <c r="G55" s="6" t="n"/>
      <c r="H55" s="19" t="n"/>
      <c r="I55" s="6" t="n"/>
      <c r="J55" s="19" t="n"/>
      <c r="K55" s="6" t="n"/>
      <c r="L55" s="19" t="n"/>
      <c r="M55" s="6" t="n"/>
      <c r="N55" s="19" t="n"/>
      <c r="O55" s="6" t="n"/>
      <c r="P55" s="19" t="n"/>
      <c r="Q55" s="6" t="n"/>
      <c r="R55" s="19" t="n"/>
      <c r="S55" s="6" t="n"/>
      <c r="T55" s="19" t="n"/>
      <c r="U55" s="6" t="n"/>
      <c r="V55" s="20">
        <f>SUM(B55,D55,F55,H55,J55,L55,N55,P55,R55,T55)</f>
        <v/>
      </c>
      <c r="W55" s="19">
        <f>COUNTIF(C55,"P")+COUNTIF(E55,"P")+COUNTIF(G55,"P")+COUNTIF(I55,"P")+COUNTIF(K55,"P")+COUNTIF(M55,"P")+COUNTIF(O55,"P")+COUNTIF(Q55,"P")+COUNTIF(S55,"P")+COUNTIF(U55,"P")</f>
        <v/>
      </c>
      <c r="X55" s="19">
        <f>COUNTIF(C55,"A")+COUNTIF(E55,"A")+COUNTIF(G55,"A")+COUNTIF(I55,"A")+COUNTIF(K55,"A")+COUNTIF(M55,"A")+COUNTIF(O55,"A")+COUNTIF(Q55,"A")+COUNTIF(S55,"A")+COUNTIF(U55,"A")</f>
        <v/>
      </c>
      <c r="Y55" s="19" t="n"/>
      <c r="Z55" s="19">
        <f>IF(Y55="","",Y55-V55)</f>
        <v/>
      </c>
      <c r="AA55" s="21">
        <f>IF(OR(Y55="",Y55=0),"",V55/Y55)</f>
        <v/>
      </c>
      <c r="AB55" s="22">
        <f>IF(OR(Y55="",Y55=0),"",IF((10-W55-X55)&lt;=0,"N/A",Z55/(10-W55-X55)))</f>
        <v/>
      </c>
      <c r="AC55" s="19">
        <f>IF(W55=0,"",ROUND((V55/W55)*10,0))</f>
        <v/>
      </c>
    </row>
    <row r="56">
      <c r="A56" s="18" t="inlineStr">
        <is>
          <t>John Joby</t>
        </is>
      </c>
      <c r="B56" s="19" t="n"/>
      <c r="C56" s="6" t="n"/>
      <c r="D56" s="19" t="n"/>
      <c r="E56" s="6" t="n"/>
      <c r="F56" s="19" t="n"/>
      <c r="G56" s="6" t="n"/>
      <c r="H56" s="19" t="n"/>
      <c r="I56" s="6" t="n"/>
      <c r="J56" s="19" t="n"/>
      <c r="K56" s="6" t="n"/>
      <c r="L56" s="19" t="n"/>
      <c r="M56" s="6" t="n"/>
      <c r="N56" s="19" t="n"/>
      <c r="O56" s="6" t="n"/>
      <c r="P56" s="19" t="n"/>
      <c r="Q56" s="6" t="n"/>
      <c r="R56" s="19" t="n"/>
      <c r="S56" s="6" t="n"/>
      <c r="T56" s="19" t="n"/>
      <c r="U56" s="6" t="n"/>
      <c r="V56" s="20">
        <f>SUM(B56,D56,F56,H56,J56,L56,N56,P56,R56,T56)</f>
        <v/>
      </c>
      <c r="W56" s="19">
        <f>COUNTIF(C56,"P")+COUNTIF(E56,"P")+COUNTIF(G56,"P")+COUNTIF(I56,"P")+COUNTIF(K56,"P")+COUNTIF(M56,"P")+COUNTIF(O56,"P")+COUNTIF(Q56,"P")+COUNTIF(S56,"P")+COUNTIF(U56,"P")</f>
        <v/>
      </c>
      <c r="X56" s="19">
        <f>COUNTIF(C56,"A")+COUNTIF(E56,"A")+COUNTIF(G56,"A")+COUNTIF(I56,"A")+COUNTIF(K56,"A")+COUNTIF(M56,"A")+COUNTIF(O56,"A")+COUNTIF(Q56,"A")+COUNTIF(S56,"A")+COUNTIF(U56,"A")</f>
        <v/>
      </c>
      <c r="Y56" s="19" t="n"/>
      <c r="Z56" s="19">
        <f>IF(Y56="","",Y56-V56)</f>
        <v/>
      </c>
      <c r="AA56" s="21">
        <f>IF(OR(Y56="",Y56=0),"",V56/Y56)</f>
        <v/>
      </c>
      <c r="AB56" s="22">
        <f>IF(OR(Y56="",Y56=0),"",IF((10-W56-X56)&lt;=0,"N/A",Z56/(10-W56-X56)))</f>
        <v/>
      </c>
      <c r="AC56" s="19">
        <f>IF(W56=0,"",ROUND((V56/W56)*10,0))</f>
        <v/>
      </c>
    </row>
    <row r="57">
      <c r="A57" s="18" t="inlineStr">
        <is>
          <t>Jason Bean</t>
        </is>
      </c>
      <c r="B57" s="19" t="n"/>
      <c r="C57" s="6" t="n"/>
      <c r="D57" s="19" t="n"/>
      <c r="E57" s="6" t="n"/>
      <c r="F57" s="19" t="n"/>
      <c r="G57" s="6" t="n"/>
      <c r="H57" s="19" t="n"/>
      <c r="I57" s="6" t="n"/>
      <c r="J57" s="19" t="n"/>
      <c r="K57" s="6" t="n"/>
      <c r="L57" s="19" t="n"/>
      <c r="M57" s="6" t="n"/>
      <c r="N57" s="19" t="n"/>
      <c r="O57" s="6" t="n"/>
      <c r="P57" s="19" t="n"/>
      <c r="Q57" s="6" t="n"/>
      <c r="R57" s="19" t="n"/>
      <c r="S57" s="6" t="n"/>
      <c r="T57" s="19" t="n"/>
      <c r="U57" s="6" t="n"/>
      <c r="V57" s="20">
        <f>SUM(B57,D57,F57,H57,J57,L57,N57,P57,R57,T57)</f>
        <v/>
      </c>
      <c r="W57" s="19">
        <f>COUNTIF(C57,"P")+COUNTIF(E57,"P")+COUNTIF(G57,"P")+COUNTIF(I57,"P")+COUNTIF(K57,"P")+COUNTIF(M57,"P")+COUNTIF(O57,"P")+COUNTIF(Q57,"P")+COUNTIF(S57,"P")+COUNTIF(U57,"P")</f>
        <v/>
      </c>
      <c r="X57" s="19">
        <f>COUNTIF(C57,"A")+COUNTIF(E57,"A")+COUNTIF(G57,"A")+COUNTIF(I57,"A")+COUNTIF(K57,"A")+COUNTIF(M57,"A")+COUNTIF(O57,"A")+COUNTIF(Q57,"A")+COUNTIF(S57,"A")+COUNTIF(U57,"A")</f>
        <v/>
      </c>
      <c r="Y57" s="19" t="n"/>
      <c r="Z57" s="19">
        <f>IF(Y57="","",Y57-V57)</f>
        <v/>
      </c>
      <c r="AA57" s="21">
        <f>IF(OR(Y57="",Y57=0),"",V57/Y57)</f>
        <v/>
      </c>
      <c r="AB57" s="22">
        <f>IF(OR(Y57="",Y57=0),"",IF((10-W57-X57)&lt;=0,"N/A",Z57/(10-W57-X57)))</f>
        <v/>
      </c>
      <c r="AC57" s="19">
        <f>IF(W57=0,"",ROUND((V57/W57)*10,0))</f>
        <v/>
      </c>
    </row>
    <row r="60">
      <c r="A60" s="26" t="inlineStr">
        <is>
          <t>Q4 — Quarter 4</t>
        </is>
      </c>
    </row>
    <row r="61">
      <c r="A61" s="17" t="inlineStr">
        <is>
          <t>Student Name</t>
        </is>
      </c>
      <c r="B61" s="17" t="inlineStr">
        <is>
          <t>Sess 1</t>
        </is>
      </c>
      <c r="C61" s="17" t="inlineStr">
        <is>
          <t>Att 1</t>
        </is>
      </c>
      <c r="D61" s="17" t="inlineStr">
        <is>
          <t>Sess 2</t>
        </is>
      </c>
      <c r="E61" s="17" t="inlineStr">
        <is>
          <t>Att 2</t>
        </is>
      </c>
      <c r="F61" s="17" t="inlineStr">
        <is>
          <t>Sess 3</t>
        </is>
      </c>
      <c r="G61" s="17" t="inlineStr">
        <is>
          <t>Att 3</t>
        </is>
      </c>
      <c r="H61" s="17" t="inlineStr">
        <is>
          <t>Sess 4</t>
        </is>
      </c>
      <c r="I61" s="17" t="inlineStr">
        <is>
          <t>Att 4</t>
        </is>
      </c>
      <c r="J61" s="17" t="inlineStr">
        <is>
          <t>Sess 5</t>
        </is>
      </c>
      <c r="K61" s="17" t="inlineStr">
        <is>
          <t>Att 5</t>
        </is>
      </c>
      <c r="L61" s="17" t="inlineStr">
        <is>
          <t>Sess 6</t>
        </is>
      </c>
      <c r="M61" s="17" t="inlineStr">
        <is>
          <t>Att 6</t>
        </is>
      </c>
      <c r="N61" s="17" t="inlineStr">
        <is>
          <t>Sess 7</t>
        </is>
      </c>
      <c r="O61" s="17" t="inlineStr">
        <is>
          <t>Att 7</t>
        </is>
      </c>
      <c r="P61" s="17" t="inlineStr">
        <is>
          <t>Sess 8</t>
        </is>
      </c>
      <c r="Q61" s="17" t="inlineStr">
        <is>
          <t>Att 8</t>
        </is>
      </c>
      <c r="R61" s="17" t="inlineStr">
        <is>
          <t>Sess 9</t>
        </is>
      </c>
      <c r="S61" s="17" t="inlineStr">
        <is>
          <t>Att 9</t>
        </is>
      </c>
      <c r="T61" s="17" t="inlineStr">
        <is>
          <t>Sess 10</t>
        </is>
      </c>
      <c r="U61" s="17" t="inlineStr">
        <is>
          <t>Att 10</t>
        </is>
      </c>
      <c r="V61" s="17" t="inlineStr">
        <is>
          <t>Min Met</t>
        </is>
      </c>
      <c r="W61" s="17" t="inlineStr">
        <is>
          <t>Sess Att</t>
        </is>
      </c>
      <c r="X61" s="17" t="inlineStr">
        <is>
          <t>Absences</t>
        </is>
      </c>
      <c r="Y61" s="17" t="inlineStr">
        <is>
          <t>IEP Req</t>
        </is>
      </c>
      <c r="Z61" s="17" t="inlineStr">
        <is>
          <t>Min Remain</t>
        </is>
      </c>
      <c r="AA61" s="17" t="inlineStr">
        <is>
          <t>% Complete</t>
        </is>
      </c>
      <c r="AB61" s="17" t="inlineStr">
        <is>
          <t>Pace Needed</t>
        </is>
      </c>
      <c r="AC61" s="17" t="inlineStr">
        <is>
          <t>Projected</t>
        </is>
      </c>
    </row>
    <row r="62">
      <c r="A62" s="18" t="inlineStr">
        <is>
          <t>Raya Hightower</t>
        </is>
      </c>
      <c r="B62" s="19" t="n"/>
      <c r="C62" s="6" t="n"/>
      <c r="D62" s="19" t="n"/>
      <c r="E62" s="6" t="n"/>
      <c r="F62" s="19" t="n"/>
      <c r="G62" s="6" t="n"/>
      <c r="H62" s="19" t="n"/>
      <c r="I62" s="6" t="n"/>
      <c r="J62" s="19" t="n"/>
      <c r="K62" s="6" t="n"/>
      <c r="L62" s="19" t="n"/>
      <c r="M62" s="6" t="n"/>
      <c r="N62" s="19" t="n"/>
      <c r="O62" s="6" t="n"/>
      <c r="P62" s="19" t="n"/>
      <c r="Q62" s="6" t="n"/>
      <c r="R62" s="19" t="n"/>
      <c r="S62" s="6" t="n"/>
      <c r="T62" s="19" t="n"/>
      <c r="U62" s="6" t="n"/>
      <c r="V62" s="20">
        <f>SUM(B62,D62,F62,H62,J62,L62,N62,P62,R62,T62)</f>
        <v/>
      </c>
      <c r="W62" s="19">
        <f>COUNTIF(C62,"P")+COUNTIF(E62,"P")+COUNTIF(G62,"P")+COUNTIF(I62,"P")+COUNTIF(K62,"P")+COUNTIF(M62,"P")+COUNTIF(O62,"P")+COUNTIF(Q62,"P")+COUNTIF(S62,"P")+COUNTIF(U62,"P")</f>
        <v/>
      </c>
      <c r="X62" s="19">
        <f>COUNTIF(C62,"A")+COUNTIF(E62,"A")+COUNTIF(G62,"A")+COUNTIF(I62,"A")+COUNTIF(K62,"A")+COUNTIF(M62,"A")+COUNTIF(O62,"A")+COUNTIF(Q62,"A")+COUNTIF(S62,"A")+COUNTIF(U62,"A")</f>
        <v/>
      </c>
      <c r="Y62" s="19" t="n"/>
      <c r="Z62" s="19">
        <f>IF(Y62="","",Y62-V62)</f>
        <v/>
      </c>
      <c r="AA62" s="21">
        <f>IF(OR(Y62="",Y62=0),"",V62/Y62)</f>
        <v/>
      </c>
      <c r="AB62" s="22">
        <f>IF(OR(Y62="",Y62=0),"",IF((10-W62-X62)&lt;=0,"N/A",Z62/(10-W62-X62)))</f>
        <v/>
      </c>
      <c r="AC62" s="19">
        <f>IF(W62=0,"",ROUND((V62/W62)*10,0))</f>
        <v/>
      </c>
    </row>
    <row r="63">
      <c r="A63" s="18" t="inlineStr">
        <is>
          <t>Anu Vijay Anand</t>
        </is>
      </c>
      <c r="B63" s="19" t="n"/>
      <c r="C63" s="6" t="n"/>
      <c r="D63" s="19" t="n"/>
      <c r="E63" s="6" t="n"/>
      <c r="F63" s="19" t="n"/>
      <c r="G63" s="6" t="n"/>
      <c r="H63" s="19" t="n"/>
      <c r="I63" s="6" t="n"/>
      <c r="J63" s="19" t="n"/>
      <c r="K63" s="6" t="n"/>
      <c r="L63" s="19" t="n"/>
      <c r="M63" s="6" t="n"/>
      <c r="N63" s="19" t="n"/>
      <c r="O63" s="6" t="n"/>
      <c r="P63" s="19" t="n"/>
      <c r="Q63" s="6" t="n"/>
      <c r="R63" s="19" t="n"/>
      <c r="S63" s="6" t="n"/>
      <c r="T63" s="19" t="n"/>
      <c r="U63" s="6" t="n"/>
      <c r="V63" s="20">
        <f>SUM(B63,D63,F63,H63,J63,L63,N63,P63,R63,T63)</f>
        <v/>
      </c>
      <c r="W63" s="19">
        <f>COUNTIF(C63,"P")+COUNTIF(E63,"P")+COUNTIF(G63,"P")+COUNTIF(I63,"P")+COUNTIF(K63,"P")+COUNTIF(M63,"P")+COUNTIF(O63,"P")+COUNTIF(Q63,"P")+COUNTIF(S63,"P")+COUNTIF(U63,"P")</f>
        <v/>
      </c>
      <c r="X63" s="19">
        <f>COUNTIF(C63,"A")+COUNTIF(E63,"A")+COUNTIF(G63,"A")+COUNTIF(I63,"A")+COUNTIF(K63,"A")+COUNTIF(M63,"A")+COUNTIF(O63,"A")+COUNTIF(Q63,"A")+COUNTIF(S63,"A")+COUNTIF(U63,"A")</f>
        <v/>
      </c>
      <c r="Y63" s="19" t="n"/>
      <c r="Z63" s="19">
        <f>IF(Y63="","",Y63-V63)</f>
        <v/>
      </c>
      <c r="AA63" s="21">
        <f>IF(OR(Y63="",Y63=0),"",V63/Y63)</f>
        <v/>
      </c>
      <c r="AB63" s="22">
        <f>IF(OR(Y63="",Y63=0),"",IF((10-W63-X63)&lt;=0,"N/A",Z63/(10-W63-X63)))</f>
        <v/>
      </c>
      <c r="AC63" s="19">
        <f>IF(W63=0,"",ROUND((V63/W63)*10,0))</f>
        <v/>
      </c>
    </row>
    <row r="64">
      <c r="A64" s="18" t="inlineStr">
        <is>
          <t>Aadhya Gone</t>
        </is>
      </c>
      <c r="B64" s="19" t="n"/>
      <c r="C64" s="6" t="n"/>
      <c r="D64" s="19" t="n"/>
      <c r="E64" s="6" t="n"/>
      <c r="F64" s="19" t="n"/>
      <c r="G64" s="6" t="n"/>
      <c r="H64" s="19" t="n"/>
      <c r="I64" s="6" t="n"/>
      <c r="J64" s="19" t="n"/>
      <c r="K64" s="6" t="n"/>
      <c r="L64" s="19" t="n"/>
      <c r="M64" s="6" t="n"/>
      <c r="N64" s="19" t="n"/>
      <c r="O64" s="6" t="n"/>
      <c r="P64" s="19" t="n"/>
      <c r="Q64" s="6" t="n"/>
      <c r="R64" s="19" t="n"/>
      <c r="S64" s="6" t="n"/>
      <c r="T64" s="19" t="n"/>
      <c r="U64" s="6" t="n"/>
      <c r="V64" s="20">
        <f>SUM(B64,D64,F64,H64,J64,L64,N64,P64,R64,T64)</f>
        <v/>
      </c>
      <c r="W64" s="19">
        <f>COUNTIF(C64,"P")+COUNTIF(E64,"P")+COUNTIF(G64,"P")+COUNTIF(I64,"P")+COUNTIF(K64,"P")+COUNTIF(M64,"P")+COUNTIF(O64,"P")+COUNTIF(Q64,"P")+COUNTIF(S64,"P")+COUNTIF(U64,"P")</f>
        <v/>
      </c>
      <c r="X64" s="19">
        <f>COUNTIF(C64,"A")+COUNTIF(E64,"A")+COUNTIF(G64,"A")+COUNTIF(I64,"A")+COUNTIF(K64,"A")+COUNTIF(M64,"A")+COUNTIF(O64,"A")+COUNTIF(Q64,"A")+COUNTIF(S64,"A")+COUNTIF(U64,"A")</f>
        <v/>
      </c>
      <c r="Y64" s="19" t="n"/>
      <c r="Z64" s="19">
        <f>IF(Y64="","",Y64-V64)</f>
        <v/>
      </c>
      <c r="AA64" s="21">
        <f>IF(OR(Y64="",Y64=0),"",V64/Y64)</f>
        <v/>
      </c>
      <c r="AB64" s="22">
        <f>IF(OR(Y64="",Y64=0),"",IF((10-W64-X64)&lt;=0,"N/A",Z64/(10-W64-X64)))</f>
        <v/>
      </c>
      <c r="AC64" s="19">
        <f>IF(W64=0,"",ROUND((V64/W64)*10,0))</f>
        <v/>
      </c>
    </row>
    <row r="65">
      <c r="A65" s="18" t="inlineStr">
        <is>
          <t>Sumeyah Khan</t>
        </is>
      </c>
      <c r="B65" s="19" t="n"/>
      <c r="C65" s="6" t="n"/>
      <c r="D65" s="19" t="n"/>
      <c r="E65" s="6" t="n"/>
      <c r="F65" s="19" t="n"/>
      <c r="G65" s="6" t="n"/>
      <c r="H65" s="19" t="n"/>
      <c r="I65" s="6" t="n"/>
      <c r="J65" s="19" t="n"/>
      <c r="K65" s="6" t="n"/>
      <c r="L65" s="19" t="n"/>
      <c r="M65" s="6" t="n"/>
      <c r="N65" s="19" t="n"/>
      <c r="O65" s="6" t="n"/>
      <c r="P65" s="19" t="n"/>
      <c r="Q65" s="6" t="n"/>
      <c r="R65" s="19" t="n"/>
      <c r="S65" s="6" t="n"/>
      <c r="T65" s="19" t="n"/>
      <c r="U65" s="6" t="n"/>
      <c r="V65" s="20">
        <f>SUM(B65,D65,F65,H65,J65,L65,N65,P65,R65,T65)</f>
        <v/>
      </c>
      <c r="W65" s="19">
        <f>COUNTIF(C65,"P")+COUNTIF(E65,"P")+COUNTIF(G65,"P")+COUNTIF(I65,"P")+COUNTIF(K65,"P")+COUNTIF(M65,"P")+COUNTIF(O65,"P")+COUNTIF(Q65,"P")+COUNTIF(S65,"P")+COUNTIF(U65,"P")</f>
        <v/>
      </c>
      <c r="X65" s="19">
        <f>COUNTIF(C65,"A")+COUNTIF(E65,"A")+COUNTIF(G65,"A")+COUNTIF(I65,"A")+COUNTIF(K65,"A")+COUNTIF(M65,"A")+COUNTIF(O65,"A")+COUNTIF(Q65,"A")+COUNTIF(S65,"A")+COUNTIF(U65,"A")</f>
        <v/>
      </c>
      <c r="Y65" s="19" t="n"/>
      <c r="Z65" s="19">
        <f>IF(Y65="","",Y65-V65)</f>
        <v/>
      </c>
      <c r="AA65" s="21">
        <f>IF(OR(Y65="",Y65=0),"",V65/Y65)</f>
        <v/>
      </c>
      <c r="AB65" s="22">
        <f>IF(OR(Y65="",Y65=0),"",IF((10-W65-X65)&lt;=0,"N/A",Z65/(10-W65-X65)))</f>
        <v/>
      </c>
      <c r="AC65" s="19">
        <f>IF(W65=0,"",ROUND((V65/W65)*10,0))</f>
        <v/>
      </c>
    </row>
    <row r="66">
      <c r="A66" s="18" t="inlineStr">
        <is>
          <t>Maria Mujeeb</t>
        </is>
      </c>
      <c r="B66" s="19" t="n"/>
      <c r="C66" s="6" t="n"/>
      <c r="D66" s="19" t="n"/>
      <c r="E66" s="6" t="n"/>
      <c r="F66" s="19" t="n"/>
      <c r="G66" s="6" t="n"/>
      <c r="H66" s="19" t="n"/>
      <c r="I66" s="6" t="n"/>
      <c r="J66" s="19" t="n"/>
      <c r="K66" s="6" t="n"/>
      <c r="L66" s="19" t="n"/>
      <c r="M66" s="6" t="n"/>
      <c r="N66" s="19" t="n"/>
      <c r="O66" s="6" t="n"/>
      <c r="P66" s="19" t="n"/>
      <c r="Q66" s="6" t="n"/>
      <c r="R66" s="19" t="n"/>
      <c r="S66" s="6" t="n"/>
      <c r="T66" s="19" t="n"/>
      <c r="U66" s="6" t="n"/>
      <c r="V66" s="20">
        <f>SUM(B66,D66,F66,H66,J66,L66,N66,P66,R66,T66)</f>
        <v/>
      </c>
      <c r="W66" s="19">
        <f>COUNTIF(C66,"P")+COUNTIF(E66,"P")+COUNTIF(G66,"P")+COUNTIF(I66,"P")+COUNTIF(K66,"P")+COUNTIF(M66,"P")+COUNTIF(O66,"P")+COUNTIF(Q66,"P")+COUNTIF(S66,"P")+COUNTIF(U66,"P")</f>
        <v/>
      </c>
      <c r="X66" s="19">
        <f>COUNTIF(C66,"A")+COUNTIF(E66,"A")+COUNTIF(G66,"A")+COUNTIF(I66,"A")+COUNTIF(K66,"A")+COUNTIF(M66,"A")+COUNTIF(O66,"A")+COUNTIF(Q66,"A")+COUNTIF(S66,"A")+COUNTIF(U66,"A")</f>
        <v/>
      </c>
      <c r="Y66" s="19" t="n"/>
      <c r="Z66" s="19">
        <f>IF(Y66="","",Y66-V66)</f>
        <v/>
      </c>
      <c r="AA66" s="21">
        <f>IF(OR(Y66="",Y66=0),"",V66/Y66)</f>
        <v/>
      </c>
      <c r="AB66" s="22">
        <f>IF(OR(Y66="",Y66=0),"",IF((10-W66-X66)&lt;=0,"N/A",Z66/(10-W66-X66)))</f>
        <v/>
      </c>
      <c r="AC66" s="19">
        <f>IF(W66=0,"",ROUND((V66/W66)*10,0))</f>
        <v/>
      </c>
    </row>
    <row r="67">
      <c r="A67" s="18" t="inlineStr">
        <is>
          <t>Jace Ratliff</t>
        </is>
      </c>
      <c r="B67" s="19" t="n"/>
      <c r="C67" s="6" t="n"/>
      <c r="D67" s="19" t="n"/>
      <c r="E67" s="6" t="n"/>
      <c r="F67" s="19" t="n"/>
      <c r="G67" s="6" t="n"/>
      <c r="H67" s="19" t="n"/>
      <c r="I67" s="6" t="n"/>
      <c r="J67" s="19" t="n"/>
      <c r="K67" s="6" t="n"/>
      <c r="L67" s="19" t="n"/>
      <c r="M67" s="6" t="n"/>
      <c r="N67" s="19" t="n"/>
      <c r="O67" s="6" t="n"/>
      <c r="P67" s="19" t="n"/>
      <c r="Q67" s="6" t="n"/>
      <c r="R67" s="19" t="n"/>
      <c r="S67" s="6" t="n"/>
      <c r="T67" s="19" t="n"/>
      <c r="U67" s="6" t="n"/>
      <c r="V67" s="20">
        <f>SUM(B67,D67,F67,H67,J67,L67,N67,P67,R67,T67)</f>
        <v/>
      </c>
      <c r="W67" s="19">
        <f>COUNTIF(C67,"P")+COUNTIF(E67,"P")+COUNTIF(G67,"P")+COUNTIF(I67,"P")+COUNTIF(K67,"P")+COUNTIF(M67,"P")+COUNTIF(O67,"P")+COUNTIF(Q67,"P")+COUNTIF(S67,"P")+COUNTIF(U67,"P")</f>
        <v/>
      </c>
      <c r="X67" s="19">
        <f>COUNTIF(C67,"A")+COUNTIF(E67,"A")+COUNTIF(G67,"A")+COUNTIF(I67,"A")+COUNTIF(K67,"A")+COUNTIF(M67,"A")+COUNTIF(O67,"A")+COUNTIF(Q67,"A")+COUNTIF(S67,"A")+COUNTIF(U67,"A")</f>
        <v/>
      </c>
      <c r="Y67" s="19" t="n"/>
      <c r="Z67" s="19">
        <f>IF(Y67="","",Y67-V67)</f>
        <v/>
      </c>
      <c r="AA67" s="21">
        <f>IF(OR(Y67="",Y67=0),"",V67/Y67)</f>
        <v/>
      </c>
      <c r="AB67" s="22">
        <f>IF(OR(Y67="",Y67=0),"",IF((10-W67-X67)&lt;=0,"N/A",Z67/(10-W67-X67)))</f>
        <v/>
      </c>
      <c r="AC67" s="19">
        <f>IF(W67=0,"",ROUND((V67/W67)*10,0))</f>
        <v/>
      </c>
    </row>
    <row r="68">
      <c r="A68" s="18" t="inlineStr">
        <is>
          <t>Evan Allen</t>
        </is>
      </c>
      <c r="B68" s="19" t="n"/>
      <c r="C68" s="6" t="n"/>
      <c r="D68" s="19" t="n"/>
      <c r="E68" s="6" t="n"/>
      <c r="F68" s="19" t="n"/>
      <c r="G68" s="6" t="n"/>
      <c r="H68" s="19" t="n"/>
      <c r="I68" s="6" t="n"/>
      <c r="J68" s="19" t="n"/>
      <c r="K68" s="6" t="n"/>
      <c r="L68" s="19" t="n"/>
      <c r="M68" s="6" t="n"/>
      <c r="N68" s="19" t="n"/>
      <c r="O68" s="6" t="n"/>
      <c r="P68" s="19" t="n"/>
      <c r="Q68" s="6" t="n"/>
      <c r="R68" s="19" t="n"/>
      <c r="S68" s="6" t="n"/>
      <c r="T68" s="19" t="n"/>
      <c r="U68" s="6" t="n"/>
      <c r="V68" s="20">
        <f>SUM(B68,D68,F68,H68,J68,L68,N68,P68,R68,T68)</f>
        <v/>
      </c>
      <c r="W68" s="19">
        <f>COUNTIF(C68,"P")+COUNTIF(E68,"P")+COUNTIF(G68,"P")+COUNTIF(I68,"P")+COUNTIF(K68,"P")+COUNTIF(M68,"P")+COUNTIF(O68,"P")+COUNTIF(Q68,"P")+COUNTIF(S68,"P")+COUNTIF(U68,"P")</f>
        <v/>
      </c>
      <c r="X68" s="19">
        <f>COUNTIF(C68,"A")+COUNTIF(E68,"A")+COUNTIF(G68,"A")+COUNTIF(I68,"A")+COUNTIF(K68,"A")+COUNTIF(M68,"A")+COUNTIF(O68,"A")+COUNTIF(Q68,"A")+COUNTIF(S68,"A")+COUNTIF(U68,"A")</f>
        <v/>
      </c>
      <c r="Y68" s="19" t="n"/>
      <c r="Z68" s="19">
        <f>IF(Y68="","",Y68-V68)</f>
        <v/>
      </c>
      <c r="AA68" s="21">
        <f>IF(OR(Y68="",Y68=0),"",V68/Y68)</f>
        <v/>
      </c>
      <c r="AB68" s="22">
        <f>IF(OR(Y68="",Y68=0),"",IF((10-W68-X68)&lt;=0,"N/A",Z68/(10-W68-X68)))</f>
        <v/>
      </c>
      <c r="AC68" s="19">
        <f>IF(W68=0,"",ROUND((V68/W68)*10,0))</f>
        <v/>
      </c>
    </row>
    <row r="69">
      <c r="A69" s="18" t="inlineStr">
        <is>
          <t>Sai Neelagiri</t>
        </is>
      </c>
      <c r="B69" s="19" t="n"/>
      <c r="C69" s="6" t="n"/>
      <c r="D69" s="19" t="n"/>
      <c r="E69" s="6" t="n"/>
      <c r="F69" s="19" t="n"/>
      <c r="G69" s="6" t="n"/>
      <c r="H69" s="19" t="n"/>
      <c r="I69" s="6" t="n"/>
      <c r="J69" s="19" t="n"/>
      <c r="K69" s="6" t="n"/>
      <c r="L69" s="19" t="n"/>
      <c r="M69" s="6" t="n"/>
      <c r="N69" s="19" t="n"/>
      <c r="O69" s="6" t="n"/>
      <c r="P69" s="19" t="n"/>
      <c r="Q69" s="6" t="n"/>
      <c r="R69" s="19" t="n"/>
      <c r="S69" s="6" t="n"/>
      <c r="T69" s="19" t="n"/>
      <c r="U69" s="6" t="n"/>
      <c r="V69" s="20">
        <f>SUM(B69,D69,F69,H69,J69,L69,N69,P69,R69,T69)</f>
        <v/>
      </c>
      <c r="W69" s="19">
        <f>COUNTIF(C69,"P")+COUNTIF(E69,"P")+COUNTIF(G69,"P")+COUNTIF(I69,"P")+COUNTIF(K69,"P")+COUNTIF(M69,"P")+COUNTIF(O69,"P")+COUNTIF(Q69,"P")+COUNTIF(S69,"P")+COUNTIF(U69,"P")</f>
        <v/>
      </c>
      <c r="X69" s="19">
        <f>COUNTIF(C69,"A")+COUNTIF(E69,"A")+COUNTIF(G69,"A")+COUNTIF(I69,"A")+COUNTIF(K69,"A")+COUNTIF(M69,"A")+COUNTIF(O69,"A")+COUNTIF(Q69,"A")+COUNTIF(S69,"A")+COUNTIF(U69,"A")</f>
        <v/>
      </c>
      <c r="Y69" s="19" t="n"/>
      <c r="Z69" s="19">
        <f>IF(Y69="","",Y69-V69)</f>
        <v/>
      </c>
      <c r="AA69" s="21">
        <f>IF(OR(Y69="",Y69=0),"",V69/Y69)</f>
        <v/>
      </c>
      <c r="AB69" s="22">
        <f>IF(OR(Y69="",Y69=0),"",IF((10-W69-X69)&lt;=0,"N/A",Z69/(10-W69-X69)))</f>
        <v/>
      </c>
      <c r="AC69" s="19">
        <f>IF(W69=0,"",ROUND((V69/W69)*10,0))</f>
        <v/>
      </c>
    </row>
    <row r="70">
      <c r="A70" s="18" t="inlineStr">
        <is>
          <t>Fletcher Meese</t>
        </is>
      </c>
      <c r="B70" s="19" t="n"/>
      <c r="C70" s="6" t="n"/>
      <c r="D70" s="19" t="n"/>
      <c r="E70" s="6" t="n"/>
      <c r="F70" s="19" t="n"/>
      <c r="G70" s="6" t="n"/>
      <c r="H70" s="19" t="n"/>
      <c r="I70" s="6" t="n"/>
      <c r="J70" s="19" t="n"/>
      <c r="K70" s="6" t="n"/>
      <c r="L70" s="19" t="n"/>
      <c r="M70" s="6" t="n"/>
      <c r="N70" s="19" t="n"/>
      <c r="O70" s="6" t="n"/>
      <c r="P70" s="19" t="n"/>
      <c r="Q70" s="6" t="n"/>
      <c r="R70" s="19" t="n"/>
      <c r="S70" s="6" t="n"/>
      <c r="T70" s="19" t="n"/>
      <c r="U70" s="6" t="n"/>
      <c r="V70" s="20">
        <f>SUM(B70,D70,F70,H70,J70,L70,N70,P70,R70,T70)</f>
        <v/>
      </c>
      <c r="W70" s="19">
        <f>COUNTIF(C70,"P")+COUNTIF(E70,"P")+COUNTIF(G70,"P")+COUNTIF(I70,"P")+COUNTIF(K70,"P")+COUNTIF(M70,"P")+COUNTIF(O70,"P")+COUNTIF(Q70,"P")+COUNTIF(S70,"P")+COUNTIF(U70,"P")</f>
        <v/>
      </c>
      <c r="X70" s="19">
        <f>COUNTIF(C70,"A")+COUNTIF(E70,"A")+COUNTIF(G70,"A")+COUNTIF(I70,"A")+COUNTIF(K70,"A")+COUNTIF(M70,"A")+COUNTIF(O70,"A")+COUNTIF(Q70,"A")+COUNTIF(S70,"A")+COUNTIF(U70,"A")</f>
        <v/>
      </c>
      <c r="Y70" s="19" t="n"/>
      <c r="Z70" s="19">
        <f>IF(Y70="","",Y70-V70)</f>
        <v/>
      </c>
      <c r="AA70" s="21">
        <f>IF(OR(Y70="",Y70=0),"",V70/Y70)</f>
        <v/>
      </c>
      <c r="AB70" s="22">
        <f>IF(OR(Y70="",Y70=0),"",IF((10-W70-X70)&lt;=0,"N/A",Z70/(10-W70-X70)))</f>
        <v/>
      </c>
      <c r="AC70" s="19">
        <f>IF(W70=0,"",ROUND((V70/W70)*10,0))</f>
        <v/>
      </c>
    </row>
    <row r="71">
      <c r="A71" s="18" t="inlineStr">
        <is>
          <t>Elijah Aldaco</t>
        </is>
      </c>
      <c r="B71" s="19" t="n"/>
      <c r="C71" s="6" t="n"/>
      <c r="D71" s="19" t="n"/>
      <c r="E71" s="6" t="n"/>
      <c r="F71" s="19" t="n"/>
      <c r="G71" s="6" t="n"/>
      <c r="H71" s="19" t="n"/>
      <c r="I71" s="6" t="n"/>
      <c r="J71" s="19" t="n"/>
      <c r="K71" s="6" t="n"/>
      <c r="L71" s="19" t="n"/>
      <c r="M71" s="6" t="n"/>
      <c r="N71" s="19" t="n"/>
      <c r="O71" s="6" t="n"/>
      <c r="P71" s="19" t="n"/>
      <c r="Q71" s="6" t="n"/>
      <c r="R71" s="19" t="n"/>
      <c r="S71" s="6" t="n"/>
      <c r="T71" s="19" t="n"/>
      <c r="U71" s="6" t="n"/>
      <c r="V71" s="20">
        <f>SUM(B71,D71,F71,H71,J71,L71,N71,P71,R71,T71)</f>
        <v/>
      </c>
      <c r="W71" s="19">
        <f>COUNTIF(C71,"P")+COUNTIF(E71,"P")+COUNTIF(G71,"P")+COUNTIF(I71,"P")+COUNTIF(K71,"P")+COUNTIF(M71,"P")+COUNTIF(O71,"P")+COUNTIF(Q71,"P")+COUNTIF(S71,"P")+COUNTIF(U71,"P")</f>
        <v/>
      </c>
      <c r="X71" s="19">
        <f>COUNTIF(C71,"A")+COUNTIF(E71,"A")+COUNTIF(G71,"A")+COUNTIF(I71,"A")+COUNTIF(K71,"A")+COUNTIF(M71,"A")+COUNTIF(O71,"A")+COUNTIF(Q71,"A")+COUNTIF(S71,"A")+COUNTIF(U71,"A")</f>
        <v/>
      </c>
      <c r="Y71" s="19" t="n"/>
      <c r="Z71" s="19">
        <f>IF(Y71="","",Y71-V71)</f>
        <v/>
      </c>
      <c r="AA71" s="21">
        <f>IF(OR(Y71="",Y71=0),"",V71/Y71)</f>
        <v/>
      </c>
      <c r="AB71" s="22">
        <f>IF(OR(Y71="",Y71=0),"",IF((10-W71-X71)&lt;=0,"N/A",Z71/(10-W71-X71)))</f>
        <v/>
      </c>
      <c r="AC71" s="19">
        <f>IF(W71=0,"",ROUND((V71/W71)*10,0))</f>
        <v/>
      </c>
    </row>
    <row r="72">
      <c r="A72" s="18" t="inlineStr">
        <is>
          <t>Cain Gutierrez</t>
        </is>
      </c>
      <c r="B72" s="19" t="n"/>
      <c r="C72" s="6" t="n"/>
      <c r="D72" s="19" t="n"/>
      <c r="E72" s="6" t="n"/>
      <c r="F72" s="19" t="n"/>
      <c r="G72" s="6" t="n"/>
      <c r="H72" s="19" t="n"/>
      <c r="I72" s="6" t="n"/>
      <c r="J72" s="19" t="n"/>
      <c r="K72" s="6" t="n"/>
      <c r="L72" s="19" t="n"/>
      <c r="M72" s="6" t="n"/>
      <c r="N72" s="19" t="n"/>
      <c r="O72" s="6" t="n"/>
      <c r="P72" s="19" t="n"/>
      <c r="Q72" s="6" t="n"/>
      <c r="R72" s="19" t="n"/>
      <c r="S72" s="6" t="n"/>
      <c r="T72" s="19" t="n"/>
      <c r="U72" s="6" t="n"/>
      <c r="V72" s="20">
        <f>SUM(B72,D72,F72,H72,J72,L72,N72,P72,R72,T72)</f>
        <v/>
      </c>
      <c r="W72" s="19">
        <f>COUNTIF(C72,"P")+COUNTIF(E72,"P")+COUNTIF(G72,"P")+COUNTIF(I72,"P")+COUNTIF(K72,"P")+COUNTIF(M72,"P")+COUNTIF(O72,"P")+COUNTIF(Q72,"P")+COUNTIF(S72,"P")+COUNTIF(U72,"P")</f>
        <v/>
      </c>
      <c r="X72" s="19">
        <f>COUNTIF(C72,"A")+COUNTIF(E72,"A")+COUNTIF(G72,"A")+COUNTIF(I72,"A")+COUNTIF(K72,"A")+COUNTIF(M72,"A")+COUNTIF(O72,"A")+COUNTIF(Q72,"A")+COUNTIF(S72,"A")+COUNTIF(U72,"A")</f>
        <v/>
      </c>
      <c r="Y72" s="19" t="n"/>
      <c r="Z72" s="19">
        <f>IF(Y72="","",Y72-V72)</f>
        <v/>
      </c>
      <c r="AA72" s="21">
        <f>IF(OR(Y72="",Y72=0),"",V72/Y72)</f>
        <v/>
      </c>
      <c r="AB72" s="22">
        <f>IF(OR(Y72="",Y72=0),"",IF((10-W72-X72)&lt;=0,"N/A",Z72/(10-W72-X72)))</f>
        <v/>
      </c>
      <c r="AC72" s="19">
        <f>IF(W72=0,"",ROUND((V72/W72)*10,0))</f>
        <v/>
      </c>
    </row>
    <row r="73">
      <c r="A73" s="18" t="inlineStr">
        <is>
          <t>Grayson Barnhart</t>
        </is>
      </c>
      <c r="B73" s="19" t="n"/>
      <c r="C73" s="6" t="n"/>
      <c r="D73" s="19" t="n"/>
      <c r="E73" s="6" t="n"/>
      <c r="F73" s="19" t="n"/>
      <c r="G73" s="6" t="n"/>
      <c r="H73" s="19" t="n"/>
      <c r="I73" s="6" t="n"/>
      <c r="J73" s="19" t="n"/>
      <c r="K73" s="6" t="n"/>
      <c r="L73" s="19" t="n"/>
      <c r="M73" s="6" t="n"/>
      <c r="N73" s="19" t="n"/>
      <c r="O73" s="6" t="n"/>
      <c r="P73" s="19" t="n"/>
      <c r="Q73" s="6" t="n"/>
      <c r="R73" s="19" t="n"/>
      <c r="S73" s="6" t="n"/>
      <c r="T73" s="19" t="n"/>
      <c r="U73" s="6" t="n"/>
      <c r="V73" s="20">
        <f>SUM(B73,D73,F73,H73,J73,L73,N73,P73,R73,T73)</f>
        <v/>
      </c>
      <c r="W73" s="19">
        <f>COUNTIF(C73,"P")+COUNTIF(E73,"P")+COUNTIF(G73,"P")+COUNTIF(I73,"P")+COUNTIF(K73,"P")+COUNTIF(M73,"P")+COUNTIF(O73,"P")+COUNTIF(Q73,"P")+COUNTIF(S73,"P")+COUNTIF(U73,"P")</f>
        <v/>
      </c>
      <c r="X73" s="19">
        <f>COUNTIF(C73,"A")+COUNTIF(E73,"A")+COUNTIF(G73,"A")+COUNTIF(I73,"A")+COUNTIF(K73,"A")+COUNTIF(M73,"A")+COUNTIF(O73,"A")+COUNTIF(Q73,"A")+COUNTIF(S73,"A")+COUNTIF(U73,"A")</f>
        <v/>
      </c>
      <c r="Y73" s="19" t="n"/>
      <c r="Z73" s="19">
        <f>IF(Y73="","",Y73-V73)</f>
        <v/>
      </c>
      <c r="AA73" s="21">
        <f>IF(OR(Y73="",Y73=0),"",V73/Y73)</f>
        <v/>
      </c>
      <c r="AB73" s="22">
        <f>IF(OR(Y73="",Y73=0),"",IF((10-W73-X73)&lt;=0,"N/A",Z73/(10-W73-X73)))</f>
        <v/>
      </c>
      <c r="AC73" s="19">
        <f>IF(W73=0,"",ROUND((V73/W73)*10,0))</f>
        <v/>
      </c>
    </row>
    <row r="74">
      <c r="A74" s="18" t="inlineStr">
        <is>
          <t>Abel Abraham</t>
        </is>
      </c>
      <c r="B74" s="19" t="n"/>
      <c r="C74" s="6" t="n"/>
      <c r="D74" s="19" t="n"/>
      <c r="E74" s="6" t="n"/>
      <c r="F74" s="19" t="n"/>
      <c r="G74" s="6" t="n"/>
      <c r="H74" s="19" t="n"/>
      <c r="I74" s="6" t="n"/>
      <c r="J74" s="19" t="n"/>
      <c r="K74" s="6" t="n"/>
      <c r="L74" s="19" t="n"/>
      <c r="M74" s="6" t="n"/>
      <c r="N74" s="19" t="n"/>
      <c r="O74" s="6" t="n"/>
      <c r="P74" s="19" t="n"/>
      <c r="Q74" s="6" t="n"/>
      <c r="R74" s="19" t="n"/>
      <c r="S74" s="6" t="n"/>
      <c r="T74" s="19" t="n"/>
      <c r="U74" s="6" t="n"/>
      <c r="V74" s="20">
        <f>SUM(B74,D74,F74,H74,J74,L74,N74,P74,R74,T74)</f>
        <v/>
      </c>
      <c r="W74" s="19">
        <f>COUNTIF(C74,"P")+COUNTIF(E74,"P")+COUNTIF(G74,"P")+COUNTIF(I74,"P")+COUNTIF(K74,"P")+COUNTIF(M74,"P")+COUNTIF(O74,"P")+COUNTIF(Q74,"P")+COUNTIF(S74,"P")+COUNTIF(U74,"P")</f>
        <v/>
      </c>
      <c r="X74" s="19">
        <f>COUNTIF(C74,"A")+COUNTIF(E74,"A")+COUNTIF(G74,"A")+COUNTIF(I74,"A")+COUNTIF(K74,"A")+COUNTIF(M74,"A")+COUNTIF(O74,"A")+COUNTIF(Q74,"A")+COUNTIF(S74,"A")+COUNTIF(U74,"A")</f>
        <v/>
      </c>
      <c r="Y74" s="19" t="n"/>
      <c r="Z74" s="19">
        <f>IF(Y74="","",Y74-V74)</f>
        <v/>
      </c>
      <c r="AA74" s="21">
        <f>IF(OR(Y74="",Y74=0),"",V74/Y74)</f>
        <v/>
      </c>
      <c r="AB74" s="22">
        <f>IF(OR(Y74="",Y74=0),"",IF((10-W74-X74)&lt;=0,"N/A",Z74/(10-W74-X74)))</f>
        <v/>
      </c>
      <c r="AC74" s="19">
        <f>IF(W74=0,"",ROUND((V74/W74)*10,0))</f>
        <v/>
      </c>
    </row>
    <row r="75">
      <c r="A75" s="18" t="inlineStr">
        <is>
          <t>John Joby</t>
        </is>
      </c>
      <c r="B75" s="19" t="n"/>
      <c r="C75" s="6" t="n"/>
      <c r="D75" s="19" t="n"/>
      <c r="E75" s="6" t="n"/>
      <c r="F75" s="19" t="n"/>
      <c r="G75" s="6" t="n"/>
      <c r="H75" s="19" t="n"/>
      <c r="I75" s="6" t="n"/>
      <c r="J75" s="19" t="n"/>
      <c r="K75" s="6" t="n"/>
      <c r="L75" s="19" t="n"/>
      <c r="M75" s="6" t="n"/>
      <c r="N75" s="19" t="n"/>
      <c r="O75" s="6" t="n"/>
      <c r="P75" s="19" t="n"/>
      <c r="Q75" s="6" t="n"/>
      <c r="R75" s="19" t="n"/>
      <c r="S75" s="6" t="n"/>
      <c r="T75" s="19" t="n"/>
      <c r="U75" s="6" t="n"/>
      <c r="V75" s="20">
        <f>SUM(B75,D75,F75,H75,J75,L75,N75,P75,R75,T75)</f>
        <v/>
      </c>
      <c r="W75" s="19">
        <f>COUNTIF(C75,"P")+COUNTIF(E75,"P")+COUNTIF(G75,"P")+COUNTIF(I75,"P")+COUNTIF(K75,"P")+COUNTIF(M75,"P")+COUNTIF(O75,"P")+COUNTIF(Q75,"P")+COUNTIF(S75,"P")+COUNTIF(U75,"P")</f>
        <v/>
      </c>
      <c r="X75" s="19">
        <f>COUNTIF(C75,"A")+COUNTIF(E75,"A")+COUNTIF(G75,"A")+COUNTIF(I75,"A")+COUNTIF(K75,"A")+COUNTIF(M75,"A")+COUNTIF(O75,"A")+COUNTIF(Q75,"A")+COUNTIF(S75,"A")+COUNTIF(U75,"A")</f>
        <v/>
      </c>
      <c r="Y75" s="19" t="n"/>
      <c r="Z75" s="19">
        <f>IF(Y75="","",Y75-V75)</f>
        <v/>
      </c>
      <c r="AA75" s="21">
        <f>IF(OR(Y75="",Y75=0),"",V75/Y75)</f>
        <v/>
      </c>
      <c r="AB75" s="22">
        <f>IF(OR(Y75="",Y75=0),"",IF((10-W75-X75)&lt;=0,"N/A",Z75/(10-W75-X75)))</f>
        <v/>
      </c>
      <c r="AC75" s="19">
        <f>IF(W75=0,"",ROUND((V75/W75)*10,0))</f>
        <v/>
      </c>
    </row>
    <row r="76">
      <c r="A76" s="18" t="inlineStr">
        <is>
          <t>Jason Bean</t>
        </is>
      </c>
      <c r="B76" s="19" t="n"/>
      <c r="C76" s="6" t="n"/>
      <c r="D76" s="19" t="n"/>
      <c r="E76" s="6" t="n"/>
      <c r="F76" s="19" t="n"/>
      <c r="G76" s="6" t="n"/>
      <c r="H76" s="19" t="n"/>
      <c r="I76" s="6" t="n"/>
      <c r="J76" s="19" t="n"/>
      <c r="K76" s="6" t="n"/>
      <c r="L76" s="19" t="n"/>
      <c r="M76" s="6" t="n"/>
      <c r="N76" s="19" t="n"/>
      <c r="O76" s="6" t="n"/>
      <c r="P76" s="19" t="n"/>
      <c r="Q76" s="6" t="n"/>
      <c r="R76" s="19" t="n"/>
      <c r="S76" s="6" t="n"/>
      <c r="T76" s="19" t="n"/>
      <c r="U76" s="6" t="n"/>
      <c r="V76" s="20">
        <f>SUM(B76,D76,F76,H76,J76,L76,N76,P76,R76,T76)</f>
        <v/>
      </c>
      <c r="W76" s="19">
        <f>COUNTIF(C76,"P")+COUNTIF(E76,"P")+COUNTIF(G76,"P")+COUNTIF(I76,"P")+COUNTIF(K76,"P")+COUNTIF(M76,"P")+COUNTIF(O76,"P")+COUNTIF(Q76,"P")+COUNTIF(S76,"P")+COUNTIF(U76,"P")</f>
        <v/>
      </c>
      <c r="X76" s="19">
        <f>COUNTIF(C76,"A")+COUNTIF(E76,"A")+COUNTIF(G76,"A")+COUNTIF(I76,"A")+COUNTIF(K76,"A")+COUNTIF(M76,"A")+COUNTIF(O76,"A")+COUNTIF(Q76,"A")+COUNTIF(S76,"A")+COUNTIF(U76,"A")</f>
        <v/>
      </c>
      <c r="Y76" s="19" t="n"/>
      <c r="Z76" s="19">
        <f>IF(Y76="","",Y76-V76)</f>
        <v/>
      </c>
      <c r="AA76" s="21">
        <f>IF(OR(Y76="",Y76=0),"",V76/Y76)</f>
        <v/>
      </c>
      <c r="AB76" s="22">
        <f>IF(OR(Y76="",Y76=0),"",IF((10-W76-X76)&lt;=0,"N/A",Z76/(10-W76-X76)))</f>
        <v/>
      </c>
      <c r="AC76" s="19">
        <f>IF(W76=0,"",ROUND((V76/W76)*10,0))</f>
        <v/>
      </c>
    </row>
  </sheetData>
  <mergeCells count="5">
    <mergeCell ref="A41:AC41"/>
    <mergeCell ref="A1:AC1"/>
    <mergeCell ref="A22:AC22"/>
    <mergeCell ref="A3:AC3"/>
    <mergeCell ref="A60:AC60"/>
  </mergeCells>
  <conditionalFormatting sqref="AA5:AA19">
    <cfRule type="cellIs" priority="1" operator="greaterThanOrEqual" dxfId="0">
      <formula>1</formula>
    </cfRule>
    <cfRule type="cellIs" priority="2" operator="between" dxfId="1">
      <formula>0.5</formula>
      <formula>0.9999</formula>
    </cfRule>
    <cfRule type="cellIs" priority="3" operator="lessThan" dxfId="2">
      <formula>0.5</formula>
    </cfRule>
  </conditionalFormatting>
  <conditionalFormatting sqref="V5:V19">
    <cfRule type="expression" priority="4" dxfId="0">
      <formula>AND(V5&gt;=Y5,Y5&lt;&gt;"")</formula>
    </cfRule>
    <cfRule type="expression" priority="5" dxfId="2">
      <formula>AND(V5&lt;Y5,Y5&lt;&gt;"")</formula>
    </cfRule>
  </conditionalFormatting>
  <conditionalFormatting sqref="AB5:AB19">
    <cfRule type="expression" priority="6" dxfId="2">
      <formula>AND(ISNUMBER(AB5),W5&gt;0,AB5&gt;2*(V5/W5))</formula>
    </cfRule>
  </conditionalFormatting>
  <conditionalFormatting sqref="A5:A19">
    <cfRule type="expression" priority="7" dxfId="2">
      <formula>OR(AND(C5="A",E5="A"),AND(E5="A",G5="A"),AND(G5="A",I5="A"),AND(I5="A",K5="A"),AND(K5="A",M5="A"),AND(M5="A",O5="A"),AND(O5="A",Q5="A"),AND(Q5="A",S5="A"),AND(S5="A",U5="A"))</formula>
    </cfRule>
  </conditionalFormatting>
  <conditionalFormatting sqref="AA24:AA38">
    <cfRule type="cellIs" priority="8" operator="greaterThanOrEqual" dxfId="0">
      <formula>1</formula>
    </cfRule>
    <cfRule type="cellIs" priority="9" operator="between" dxfId="1">
      <formula>0.5</formula>
      <formula>0.9999</formula>
    </cfRule>
    <cfRule type="cellIs" priority="10" operator="lessThan" dxfId="2">
      <formula>0.5</formula>
    </cfRule>
  </conditionalFormatting>
  <conditionalFormatting sqref="V24:V38">
    <cfRule type="expression" priority="11" dxfId="0">
      <formula>AND(V24&gt;=Y24,Y24&lt;&gt;"")</formula>
    </cfRule>
    <cfRule type="expression" priority="12" dxfId="2">
      <formula>AND(V24&lt;Y24,Y24&lt;&gt;"")</formula>
    </cfRule>
  </conditionalFormatting>
  <conditionalFormatting sqref="AB24:AB38">
    <cfRule type="expression" priority="13" dxfId="2">
      <formula>AND(ISNUMBER(AB24),W24&gt;0,AB24&gt;2*(V24/W24))</formula>
    </cfRule>
  </conditionalFormatting>
  <conditionalFormatting sqref="A24:A38">
    <cfRule type="expression" priority="14" dxfId="2">
      <formula>OR(AND(C24="A",E24="A"),AND(E24="A",G24="A"),AND(G24="A",I24="A"),AND(I24="A",K24="A"),AND(K24="A",M24="A"),AND(M24="A",O24="A"),AND(O24="A",Q24="A"),AND(Q24="A",S24="A"),AND(S24="A",U24="A"))</formula>
    </cfRule>
  </conditionalFormatting>
  <conditionalFormatting sqref="AA43:AA57">
    <cfRule type="cellIs" priority="15" operator="greaterThanOrEqual" dxfId="0">
      <formula>1</formula>
    </cfRule>
    <cfRule type="cellIs" priority="16" operator="between" dxfId="1">
      <formula>0.5</formula>
      <formula>0.9999</formula>
    </cfRule>
    <cfRule type="cellIs" priority="17" operator="lessThan" dxfId="2">
      <formula>0.5</formula>
    </cfRule>
  </conditionalFormatting>
  <conditionalFormatting sqref="V43:V57">
    <cfRule type="expression" priority="18" dxfId="0">
      <formula>AND(V43&gt;=Y43,Y43&lt;&gt;"")</formula>
    </cfRule>
    <cfRule type="expression" priority="19" dxfId="2">
      <formula>AND(V43&lt;Y43,Y43&lt;&gt;"")</formula>
    </cfRule>
  </conditionalFormatting>
  <conditionalFormatting sqref="AB43:AB57">
    <cfRule type="expression" priority="20" dxfId="2">
      <formula>AND(ISNUMBER(AB43),W43&gt;0,AB43&gt;2*(V43/W43))</formula>
    </cfRule>
  </conditionalFormatting>
  <conditionalFormatting sqref="A43:A57">
    <cfRule type="expression" priority="21" dxfId="2">
      <formula>OR(AND(C43="A",E43="A"),AND(E43="A",G43="A"),AND(G43="A",I43="A"),AND(I43="A",K43="A"),AND(K43="A",M43="A"),AND(M43="A",O43="A"),AND(O43="A",Q43="A"),AND(Q43="A",S43="A"),AND(S43="A",U43="A"))</formula>
    </cfRule>
  </conditionalFormatting>
  <conditionalFormatting sqref="AA62:AA76">
    <cfRule type="cellIs" priority="22" operator="greaterThanOrEqual" dxfId="0">
      <formula>1</formula>
    </cfRule>
    <cfRule type="cellIs" priority="23" operator="between" dxfId="1">
      <formula>0.5</formula>
      <formula>0.9999</formula>
    </cfRule>
    <cfRule type="cellIs" priority="24" operator="lessThan" dxfId="2">
      <formula>0.5</formula>
    </cfRule>
  </conditionalFormatting>
  <conditionalFormatting sqref="V62:V76">
    <cfRule type="expression" priority="25" dxfId="0">
      <formula>AND(V62&gt;=Y62,Y62&lt;&gt;"")</formula>
    </cfRule>
    <cfRule type="expression" priority="26" dxfId="2">
      <formula>AND(V62&lt;Y62,Y62&lt;&gt;"")</formula>
    </cfRule>
  </conditionalFormatting>
  <conditionalFormatting sqref="AB62:AB76">
    <cfRule type="expression" priority="27" dxfId="2">
      <formula>AND(ISNUMBER(AB62),W62&gt;0,AB62&gt;2*(V62/W62))</formula>
    </cfRule>
  </conditionalFormatting>
  <conditionalFormatting sqref="A62:A76">
    <cfRule type="expression" priority="28" dxfId="2">
      <formula>OR(AND(C62="A",E62="A"),AND(E62="A",G62="A"),AND(G62="A",I62="A"),AND(I62="A",K62="A"),AND(K62="A",M62="A"),AND(M62="A",O62="A"),AND(O62="A",Q62="A"),AND(Q62="A",S62="A"),AND(S62="A",U62="A"))</formula>
    </cfRule>
  </conditionalFormatting>
  <dataValidations count="1">
    <dataValidation sqref="C5 C6 C7 C8 C9 C10 C11 C12 C13 C14 C15 C16 C17 C18 C19 C24 C25 C26 C27 C28 C29 C30 C31 C32 C33 C34 C35 C36 C37 C38 C43 C44 C45 C46 C47 C48 C49 C50 C51 C52 C53 C54 C55 C56 C57 C62 C63 C64 C65 C66 C67 C68 C69 C70 C71 C72 C73 C74 C75 C76 E5 E6 E7 E8 E9 E10 E11 E12 E13 E14 E15 E16 E17 E18 E19 E24 E25 E26 E27 E28 E29 E30 E31 E32 E33 E34 E35 E36 E37 E38 E43 E44 E45 E46 E47 E48 E49 E50 E51 E52 E53 E54 E55 E56 E57 E62 E63 E64 E65 E66 E67 E68 E69 E70 E71 E72 E73 E74 E75 E76 G5 G6 G7 G8 G9 G10 G11 G12 G13 G14 G15 G16 G17 G18 G19 G24 G25 G26 G27 G28 G29 G30 G31 G32 G33 G34 G35 G36 G37 G38 G43 G44 G45 G46 G47 G48 G49 G50 G51 G52 G53 G54 G55 G56 G57 G62 G63 G64 G65 G66 G67 G68 G69 G70 G71 G72 G73 G74 G75 G76 I5 I6 I7 I8 I9 I10 I11 I12 I13 I14 I15 I16 I17 I18 I19 I24 I25 I26 I27 I28 I29 I30 I31 I32 I33 I34 I35 I36 I37 I38 I43 I44 I45 I46 I47 I48 I49 I50 I51 I52 I53 I54 I55 I56 I57 I62 I63 I64 I65 I66 I67 I68 I69 I70 I71 I72 I73 I74 I75 I76 K5 K6 K7 K8 K9 K10 K11 K12 K13 K14 K15 K16 K17 K18 K19 K24 K25 K26 K27 K28 K29 K30 K31 K32 K33 K34 K35 K36 K37 K38 K43 K44 K45 K46 K47 K48 K49 K50 K51 K52 K53 K54 K55 K56 K57 K62 K63 K64 K65 K66 K67 K68 K69 K70 K71 K72 K73 K74 K75 K76 M5 M6 M7 M8 M9 M10 M11 M12 M13 M14 M15 M16 M17 M18 M19 M24 M25 M26 M27 M28 M29 M30 M31 M32 M33 M34 M35 M36 M37 M38 M43 M44 M45 M46 M47 M48 M49 M50 M51 M52 M53 M54 M55 M56 M57 M62 M63 M64 M65 M66 M67 M68 M69 M70 M71 M72 M73 M74 M75 M76 O5 O6 O7 O8 O9 O10 O11 O12 O13 O14 O15 O16 O17 O18 O19 O24 O25 O26 O27 O28 O29 O30 O31 O32 O33 O34 O35 O36 O37 O38 O43 O44 O45 O46 O47 O48 O49 O50 O51 O52 O53 O54 O55 O56 O57 O62 O63 O64 O65 O66 O67 O68 O69 O70 O71 O72 O73 O74 O75 O76 Q5 Q6 Q7 Q8 Q9 Q10 Q11 Q12 Q13 Q14 Q15 Q16 Q17 Q18 Q19 Q24 Q25 Q26 Q27 Q28 Q29 Q30 Q31 Q32 Q33 Q34 Q35 Q36 Q37 Q38 Q43 Q44 Q45 Q46 Q47 Q48 Q49 Q50 Q51 Q52 Q53 Q54 Q55 Q56 Q57 Q62 Q63 Q64 Q65 Q66 Q67 Q68 Q69 Q70 Q71 Q72 Q73 Q74 Q75 Q76 S5 S6 S7 S8 S9 S10 S11 S12 S13 S14 S15 S16 S17 S18 S19 S24 S25 S26 S27 S28 S29 S30 S31 S32 S33 S34 S35 S36 S37 S38 S43 S44 S45 S46 S47 S48 S49 S50 S51 S52 S53 S54 S55 S56 S57 S62 S63 S64 S65 S66 S67 S68 S69 S70 S71 S72 S73 S74 S75 S76 U5 U6 U7 U8 U9 U10 U11 U12 U13 U14 U15 U16 U17 U18 U19 U24 U25 U26 U27 U28 U29 U30 U31 U32 U33 U34 U35 U36 U37 U38 U43 U44 U45 U46 U47 U48 U49 U50 U51 U52 U53 U54 U55 U56 U57 U62 U63 U64 U65 U66 U67 U68 U69 U70 U71 U72 U73 U74 U75 U76" showDropDown="0" showInputMessage="0" showErrorMessage="1" allowBlank="1" errorTitle="Invalid" error="Enter P (Present), A (Absent), or R (Rescheduled)" type="list">
      <formula1>"P,A,R"</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C27BA0"/>
    <outlinePr summaryBelow="1" summaryRight="1"/>
    <pageSetUpPr fitToPage="1"/>
  </sheetPr>
  <dimension ref="A1:AC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c r="A1" s="15" t="inlineStr">
        <is>
          <t>Inclusion Support — SPED Minute Tracker</t>
        </is>
      </c>
    </row>
    <row r="3">
      <c r="A3" s="16" t="inlineStr">
        <is>
          <t>Q1 — Quarter 1</t>
        </is>
      </c>
    </row>
    <row r="4">
      <c r="A4" s="17" t="inlineStr">
        <is>
          <t>Student Name</t>
        </is>
      </c>
      <c r="B4" s="17" t="inlineStr">
        <is>
          <t>Sess 1</t>
        </is>
      </c>
      <c r="C4" s="17" t="inlineStr">
        <is>
          <t>Att 1</t>
        </is>
      </c>
      <c r="D4" s="17" t="inlineStr">
        <is>
          <t>Sess 2</t>
        </is>
      </c>
      <c r="E4" s="17" t="inlineStr">
        <is>
          <t>Att 2</t>
        </is>
      </c>
      <c r="F4" s="17" t="inlineStr">
        <is>
          <t>Sess 3</t>
        </is>
      </c>
      <c r="G4" s="17" t="inlineStr">
        <is>
          <t>Att 3</t>
        </is>
      </c>
      <c r="H4" s="17" t="inlineStr">
        <is>
          <t>Sess 4</t>
        </is>
      </c>
      <c r="I4" s="17" t="inlineStr">
        <is>
          <t>Att 4</t>
        </is>
      </c>
      <c r="J4" s="17" t="inlineStr">
        <is>
          <t>Sess 5</t>
        </is>
      </c>
      <c r="K4" s="17" t="inlineStr">
        <is>
          <t>Att 5</t>
        </is>
      </c>
      <c r="L4" s="17" t="inlineStr">
        <is>
          <t>Sess 6</t>
        </is>
      </c>
      <c r="M4" s="17" t="inlineStr">
        <is>
          <t>Att 6</t>
        </is>
      </c>
      <c r="N4" s="17" t="inlineStr">
        <is>
          <t>Sess 7</t>
        </is>
      </c>
      <c r="O4" s="17" t="inlineStr">
        <is>
          <t>Att 7</t>
        </is>
      </c>
      <c r="P4" s="17" t="inlineStr">
        <is>
          <t>Sess 8</t>
        </is>
      </c>
      <c r="Q4" s="17" t="inlineStr">
        <is>
          <t>Att 8</t>
        </is>
      </c>
      <c r="R4" s="17" t="inlineStr">
        <is>
          <t>Sess 9</t>
        </is>
      </c>
      <c r="S4" s="17" t="inlineStr">
        <is>
          <t>Att 9</t>
        </is>
      </c>
      <c r="T4" s="17" t="inlineStr">
        <is>
          <t>Sess 10</t>
        </is>
      </c>
      <c r="U4" s="17" t="inlineStr">
        <is>
          <t>Att 10</t>
        </is>
      </c>
      <c r="V4" s="17" t="inlineStr">
        <is>
          <t>Min Met</t>
        </is>
      </c>
      <c r="W4" s="17" t="inlineStr">
        <is>
          <t>Sess Att</t>
        </is>
      </c>
      <c r="X4" s="17" t="inlineStr">
        <is>
          <t>Absences</t>
        </is>
      </c>
      <c r="Y4" s="17" t="inlineStr">
        <is>
          <t>IEP Req</t>
        </is>
      </c>
      <c r="Z4" s="17" t="inlineStr">
        <is>
          <t>Min Remain</t>
        </is>
      </c>
      <c r="AA4" s="17" t="inlineStr">
        <is>
          <t>% Complete</t>
        </is>
      </c>
      <c r="AB4" s="17" t="inlineStr">
        <is>
          <t>Pace Needed</t>
        </is>
      </c>
      <c r="AC4" s="17" t="inlineStr">
        <is>
          <t>Projected</t>
        </is>
      </c>
    </row>
    <row r="5">
      <c r="A5" s="18" t="inlineStr">
        <is>
          <t>Raya Hightower</t>
        </is>
      </c>
      <c r="B5" s="19" t="n"/>
      <c r="C5" s="6" t="n"/>
      <c r="D5" s="19" t="n"/>
      <c r="E5" s="6" t="n"/>
      <c r="F5" s="19" t="n"/>
      <c r="G5" s="6" t="n"/>
      <c r="H5" s="19" t="n"/>
      <c r="I5" s="6" t="n"/>
      <c r="J5" s="19" t="n"/>
      <c r="K5" s="6" t="n"/>
      <c r="L5" s="19" t="n"/>
      <c r="M5" s="6" t="n"/>
      <c r="N5" s="19" t="n"/>
      <c r="O5" s="6" t="n"/>
      <c r="P5" s="19" t="n"/>
      <c r="Q5" s="6" t="n"/>
      <c r="R5" s="19" t="n"/>
      <c r="S5" s="6" t="n"/>
      <c r="T5" s="19" t="n"/>
      <c r="U5" s="6" t="n"/>
      <c r="V5" s="20">
        <f>SUM(B5,D5,F5,H5,J5,L5,N5,P5,R5,T5)</f>
        <v/>
      </c>
      <c r="W5" s="19">
        <f>COUNTIF(C5,"P")+COUNTIF(E5,"P")+COUNTIF(G5,"P")+COUNTIF(I5,"P")+COUNTIF(K5,"P")+COUNTIF(M5,"P")+COUNTIF(O5,"P")+COUNTIF(Q5,"P")+COUNTIF(S5,"P")+COUNTIF(U5,"P")</f>
        <v/>
      </c>
      <c r="X5" s="19">
        <f>COUNTIF(C5,"A")+COUNTIF(E5,"A")+COUNTIF(G5,"A")+COUNTIF(I5,"A")+COUNTIF(K5,"A")+COUNTIF(M5,"A")+COUNTIF(O5,"A")+COUNTIF(Q5,"A")+COUNTIF(S5,"A")+COUNTIF(U5,"A")</f>
        <v/>
      </c>
      <c r="Y5" s="19" t="n"/>
      <c r="Z5" s="19">
        <f>IF(Y5="","",Y5-V5)</f>
        <v/>
      </c>
      <c r="AA5" s="21">
        <f>IF(OR(Y5="",Y5=0),"",V5/Y5)</f>
        <v/>
      </c>
      <c r="AB5" s="22">
        <f>IF(OR(Y5="",Y5=0),"",IF((10-W5-X5)&lt;=0,"N/A",Z5/(10-W5-X5)))</f>
        <v/>
      </c>
      <c r="AC5" s="19">
        <f>IF(W5=0,"",ROUND((V5/W5)*10,0))</f>
        <v/>
      </c>
    </row>
    <row r="6">
      <c r="A6" s="18" t="inlineStr">
        <is>
          <t>Anu Vijay Anand</t>
        </is>
      </c>
      <c r="B6" s="19" t="n"/>
      <c r="C6" s="6" t="n"/>
      <c r="D6" s="19" t="n"/>
      <c r="E6" s="6" t="n"/>
      <c r="F6" s="19" t="n"/>
      <c r="G6" s="6" t="n"/>
      <c r="H6" s="19" t="n"/>
      <c r="I6" s="6" t="n"/>
      <c r="J6" s="19" t="n"/>
      <c r="K6" s="6" t="n"/>
      <c r="L6" s="19" t="n"/>
      <c r="M6" s="6" t="n"/>
      <c r="N6" s="19" t="n"/>
      <c r="O6" s="6" t="n"/>
      <c r="P6" s="19" t="n"/>
      <c r="Q6" s="6" t="n"/>
      <c r="R6" s="19" t="n"/>
      <c r="S6" s="6" t="n"/>
      <c r="T6" s="19" t="n"/>
      <c r="U6" s="6" t="n"/>
      <c r="V6" s="20">
        <f>SUM(B6,D6,F6,H6,J6,L6,N6,P6,R6,T6)</f>
        <v/>
      </c>
      <c r="W6" s="19">
        <f>COUNTIF(C6,"P")+COUNTIF(E6,"P")+COUNTIF(G6,"P")+COUNTIF(I6,"P")+COUNTIF(K6,"P")+COUNTIF(M6,"P")+COUNTIF(O6,"P")+COUNTIF(Q6,"P")+COUNTIF(S6,"P")+COUNTIF(U6,"P")</f>
        <v/>
      </c>
      <c r="X6" s="19">
        <f>COUNTIF(C6,"A")+COUNTIF(E6,"A")+COUNTIF(G6,"A")+COUNTIF(I6,"A")+COUNTIF(K6,"A")+COUNTIF(M6,"A")+COUNTIF(O6,"A")+COUNTIF(Q6,"A")+COUNTIF(S6,"A")+COUNTIF(U6,"A")</f>
        <v/>
      </c>
      <c r="Y6" s="19" t="n"/>
      <c r="Z6" s="19">
        <f>IF(Y6="","",Y6-V6)</f>
        <v/>
      </c>
      <c r="AA6" s="21">
        <f>IF(OR(Y6="",Y6=0),"",V6/Y6)</f>
        <v/>
      </c>
      <c r="AB6" s="22">
        <f>IF(OR(Y6="",Y6=0),"",IF((10-W6-X6)&lt;=0,"N/A",Z6/(10-W6-X6)))</f>
        <v/>
      </c>
      <c r="AC6" s="19">
        <f>IF(W6=0,"",ROUND((V6/W6)*10,0))</f>
        <v/>
      </c>
    </row>
    <row r="7">
      <c r="A7" s="18" t="inlineStr">
        <is>
          <t>Aadhya Gone</t>
        </is>
      </c>
      <c r="B7" s="19" t="n"/>
      <c r="C7" s="6" t="n"/>
      <c r="D7" s="19" t="n"/>
      <c r="E7" s="6" t="n"/>
      <c r="F7" s="19" t="n"/>
      <c r="G7" s="6" t="n"/>
      <c r="H7" s="19" t="n"/>
      <c r="I7" s="6" t="n"/>
      <c r="J7" s="19" t="n"/>
      <c r="K7" s="6" t="n"/>
      <c r="L7" s="19" t="n"/>
      <c r="M7" s="6" t="n"/>
      <c r="N7" s="19" t="n"/>
      <c r="O7" s="6" t="n"/>
      <c r="P7" s="19" t="n"/>
      <c r="Q7" s="6" t="n"/>
      <c r="R7" s="19" t="n"/>
      <c r="S7" s="6" t="n"/>
      <c r="T7" s="19" t="n"/>
      <c r="U7" s="6" t="n"/>
      <c r="V7" s="20">
        <f>SUM(B7,D7,F7,H7,J7,L7,N7,P7,R7,T7)</f>
        <v/>
      </c>
      <c r="W7" s="19">
        <f>COUNTIF(C7,"P")+COUNTIF(E7,"P")+COUNTIF(G7,"P")+COUNTIF(I7,"P")+COUNTIF(K7,"P")+COUNTIF(M7,"P")+COUNTIF(O7,"P")+COUNTIF(Q7,"P")+COUNTIF(S7,"P")+COUNTIF(U7,"P")</f>
        <v/>
      </c>
      <c r="X7" s="19">
        <f>COUNTIF(C7,"A")+COUNTIF(E7,"A")+COUNTIF(G7,"A")+COUNTIF(I7,"A")+COUNTIF(K7,"A")+COUNTIF(M7,"A")+COUNTIF(O7,"A")+COUNTIF(Q7,"A")+COUNTIF(S7,"A")+COUNTIF(U7,"A")</f>
        <v/>
      </c>
      <c r="Y7" s="19" t="n"/>
      <c r="Z7" s="19">
        <f>IF(Y7="","",Y7-V7)</f>
        <v/>
      </c>
      <c r="AA7" s="21">
        <f>IF(OR(Y7="",Y7=0),"",V7/Y7)</f>
        <v/>
      </c>
      <c r="AB7" s="22">
        <f>IF(OR(Y7="",Y7=0),"",IF((10-W7-X7)&lt;=0,"N/A",Z7/(10-W7-X7)))</f>
        <v/>
      </c>
      <c r="AC7" s="19">
        <f>IF(W7=0,"",ROUND((V7/W7)*10,0))</f>
        <v/>
      </c>
    </row>
    <row r="8">
      <c r="A8" s="18" t="inlineStr">
        <is>
          <t>Sumeyah Khan</t>
        </is>
      </c>
      <c r="B8" s="19" t="n"/>
      <c r="C8" s="6" t="n"/>
      <c r="D8" s="19" t="n"/>
      <c r="E8" s="6" t="n"/>
      <c r="F8" s="19" t="n"/>
      <c r="G8" s="6" t="n"/>
      <c r="H8" s="19" t="n"/>
      <c r="I8" s="6" t="n"/>
      <c r="J8" s="19" t="n"/>
      <c r="K8" s="6" t="n"/>
      <c r="L8" s="19" t="n"/>
      <c r="M8" s="6" t="n"/>
      <c r="N8" s="19" t="n"/>
      <c r="O8" s="6" t="n"/>
      <c r="P8" s="19" t="n"/>
      <c r="Q8" s="6" t="n"/>
      <c r="R8" s="19" t="n"/>
      <c r="S8" s="6" t="n"/>
      <c r="T8" s="19" t="n"/>
      <c r="U8" s="6" t="n"/>
      <c r="V8" s="20">
        <f>SUM(B8,D8,F8,H8,J8,L8,N8,P8,R8,T8)</f>
        <v/>
      </c>
      <c r="W8" s="19">
        <f>COUNTIF(C8,"P")+COUNTIF(E8,"P")+COUNTIF(G8,"P")+COUNTIF(I8,"P")+COUNTIF(K8,"P")+COUNTIF(M8,"P")+COUNTIF(O8,"P")+COUNTIF(Q8,"P")+COUNTIF(S8,"P")+COUNTIF(U8,"P")</f>
        <v/>
      </c>
      <c r="X8" s="19">
        <f>COUNTIF(C8,"A")+COUNTIF(E8,"A")+COUNTIF(G8,"A")+COUNTIF(I8,"A")+COUNTIF(K8,"A")+COUNTIF(M8,"A")+COUNTIF(O8,"A")+COUNTIF(Q8,"A")+COUNTIF(S8,"A")+COUNTIF(U8,"A")</f>
        <v/>
      </c>
      <c r="Y8" s="19" t="n"/>
      <c r="Z8" s="19">
        <f>IF(Y8="","",Y8-V8)</f>
        <v/>
      </c>
      <c r="AA8" s="21">
        <f>IF(OR(Y8="",Y8=0),"",V8/Y8)</f>
        <v/>
      </c>
      <c r="AB8" s="22">
        <f>IF(OR(Y8="",Y8=0),"",IF((10-W8-X8)&lt;=0,"N/A",Z8/(10-W8-X8)))</f>
        <v/>
      </c>
      <c r="AC8" s="19">
        <f>IF(W8=0,"",ROUND((V8/W8)*10,0))</f>
        <v/>
      </c>
    </row>
    <row r="9">
      <c r="A9" s="18" t="inlineStr">
        <is>
          <t>Maria Mujeeb</t>
        </is>
      </c>
      <c r="B9" s="19" t="n"/>
      <c r="C9" s="6" t="n"/>
      <c r="D9" s="19" t="n"/>
      <c r="E9" s="6" t="n"/>
      <c r="F9" s="19" t="n"/>
      <c r="G9" s="6" t="n"/>
      <c r="H9" s="19" t="n"/>
      <c r="I9" s="6" t="n"/>
      <c r="J9" s="19" t="n"/>
      <c r="K9" s="6" t="n"/>
      <c r="L9" s="19" t="n"/>
      <c r="M9" s="6" t="n"/>
      <c r="N9" s="19" t="n"/>
      <c r="O9" s="6" t="n"/>
      <c r="P9" s="19" t="n"/>
      <c r="Q9" s="6" t="n"/>
      <c r="R9" s="19" t="n"/>
      <c r="S9" s="6" t="n"/>
      <c r="T9" s="19" t="n"/>
      <c r="U9" s="6" t="n"/>
      <c r="V9" s="20">
        <f>SUM(B9,D9,F9,H9,J9,L9,N9,P9,R9,T9)</f>
        <v/>
      </c>
      <c r="W9" s="19">
        <f>COUNTIF(C9,"P")+COUNTIF(E9,"P")+COUNTIF(G9,"P")+COUNTIF(I9,"P")+COUNTIF(K9,"P")+COUNTIF(M9,"P")+COUNTIF(O9,"P")+COUNTIF(Q9,"P")+COUNTIF(S9,"P")+COUNTIF(U9,"P")</f>
        <v/>
      </c>
      <c r="X9" s="19">
        <f>COUNTIF(C9,"A")+COUNTIF(E9,"A")+COUNTIF(G9,"A")+COUNTIF(I9,"A")+COUNTIF(K9,"A")+COUNTIF(M9,"A")+COUNTIF(O9,"A")+COUNTIF(Q9,"A")+COUNTIF(S9,"A")+COUNTIF(U9,"A")</f>
        <v/>
      </c>
      <c r="Y9" s="19" t="n"/>
      <c r="Z9" s="19">
        <f>IF(Y9="","",Y9-V9)</f>
        <v/>
      </c>
      <c r="AA9" s="21">
        <f>IF(OR(Y9="",Y9=0),"",V9/Y9)</f>
        <v/>
      </c>
      <c r="AB9" s="22">
        <f>IF(OR(Y9="",Y9=0),"",IF((10-W9-X9)&lt;=0,"N/A",Z9/(10-W9-X9)))</f>
        <v/>
      </c>
      <c r="AC9" s="19">
        <f>IF(W9=0,"",ROUND((V9/W9)*10,0))</f>
        <v/>
      </c>
    </row>
    <row r="10">
      <c r="A10" s="18" t="inlineStr">
        <is>
          <t>Jace Ratliff</t>
        </is>
      </c>
      <c r="B10" s="19" t="n"/>
      <c r="C10" s="6" t="n"/>
      <c r="D10" s="19" t="n"/>
      <c r="E10" s="6" t="n"/>
      <c r="F10" s="19" t="n"/>
      <c r="G10" s="6" t="n"/>
      <c r="H10" s="19" t="n"/>
      <c r="I10" s="6" t="n"/>
      <c r="J10" s="19" t="n"/>
      <c r="K10" s="6" t="n"/>
      <c r="L10" s="19" t="n"/>
      <c r="M10" s="6" t="n"/>
      <c r="N10" s="19" t="n"/>
      <c r="O10" s="6" t="n"/>
      <c r="P10" s="19" t="n"/>
      <c r="Q10" s="6" t="n"/>
      <c r="R10" s="19" t="n"/>
      <c r="S10" s="6" t="n"/>
      <c r="T10" s="19" t="n"/>
      <c r="U10" s="6" t="n"/>
      <c r="V10" s="20">
        <f>SUM(B10,D10,F10,H10,J10,L10,N10,P10,R10,T10)</f>
        <v/>
      </c>
      <c r="W10" s="19">
        <f>COUNTIF(C10,"P")+COUNTIF(E10,"P")+COUNTIF(G10,"P")+COUNTIF(I10,"P")+COUNTIF(K10,"P")+COUNTIF(M10,"P")+COUNTIF(O10,"P")+COUNTIF(Q10,"P")+COUNTIF(S10,"P")+COUNTIF(U10,"P")</f>
        <v/>
      </c>
      <c r="X10" s="19">
        <f>COUNTIF(C10,"A")+COUNTIF(E10,"A")+COUNTIF(G10,"A")+COUNTIF(I10,"A")+COUNTIF(K10,"A")+COUNTIF(M10,"A")+COUNTIF(O10,"A")+COUNTIF(Q10,"A")+COUNTIF(S10,"A")+COUNTIF(U10,"A")</f>
        <v/>
      </c>
      <c r="Y10" s="19" t="n"/>
      <c r="Z10" s="19">
        <f>IF(Y10="","",Y10-V10)</f>
        <v/>
      </c>
      <c r="AA10" s="21">
        <f>IF(OR(Y10="",Y10=0),"",V10/Y10)</f>
        <v/>
      </c>
      <c r="AB10" s="22">
        <f>IF(OR(Y10="",Y10=0),"",IF((10-W10-X10)&lt;=0,"N/A",Z10/(10-W10-X10)))</f>
        <v/>
      </c>
      <c r="AC10" s="19">
        <f>IF(W10=0,"",ROUND((V10/W10)*10,0))</f>
        <v/>
      </c>
    </row>
    <row r="11">
      <c r="A11" s="18" t="inlineStr">
        <is>
          <t>Evan Allen</t>
        </is>
      </c>
      <c r="B11" s="19" t="n"/>
      <c r="C11" s="6" t="n"/>
      <c r="D11" s="19" t="n"/>
      <c r="E11" s="6" t="n"/>
      <c r="F11" s="19" t="n"/>
      <c r="G11" s="6" t="n"/>
      <c r="H11" s="19" t="n"/>
      <c r="I11" s="6" t="n"/>
      <c r="J11" s="19" t="n"/>
      <c r="K11" s="6" t="n"/>
      <c r="L11" s="19" t="n"/>
      <c r="M11" s="6" t="n"/>
      <c r="N11" s="19" t="n"/>
      <c r="O11" s="6" t="n"/>
      <c r="P11" s="19" t="n"/>
      <c r="Q11" s="6" t="n"/>
      <c r="R11" s="19" t="n"/>
      <c r="S11" s="6" t="n"/>
      <c r="T11" s="19" t="n"/>
      <c r="U11" s="6" t="n"/>
      <c r="V11" s="20">
        <f>SUM(B11,D11,F11,H11,J11,L11,N11,P11,R11,T11)</f>
        <v/>
      </c>
      <c r="W11" s="19">
        <f>COUNTIF(C11,"P")+COUNTIF(E11,"P")+COUNTIF(G11,"P")+COUNTIF(I11,"P")+COUNTIF(K11,"P")+COUNTIF(M11,"P")+COUNTIF(O11,"P")+COUNTIF(Q11,"P")+COUNTIF(S11,"P")+COUNTIF(U11,"P")</f>
        <v/>
      </c>
      <c r="X11" s="19">
        <f>COUNTIF(C11,"A")+COUNTIF(E11,"A")+COUNTIF(G11,"A")+COUNTIF(I11,"A")+COUNTIF(K11,"A")+COUNTIF(M11,"A")+COUNTIF(O11,"A")+COUNTIF(Q11,"A")+COUNTIF(S11,"A")+COUNTIF(U11,"A")</f>
        <v/>
      </c>
      <c r="Y11" s="19" t="n"/>
      <c r="Z11" s="19">
        <f>IF(Y11="","",Y11-V11)</f>
        <v/>
      </c>
      <c r="AA11" s="21">
        <f>IF(OR(Y11="",Y11=0),"",V11/Y11)</f>
        <v/>
      </c>
      <c r="AB11" s="22">
        <f>IF(OR(Y11="",Y11=0),"",IF((10-W11-X11)&lt;=0,"N/A",Z11/(10-W11-X11)))</f>
        <v/>
      </c>
      <c r="AC11" s="19">
        <f>IF(W11=0,"",ROUND((V11/W11)*10,0))</f>
        <v/>
      </c>
    </row>
    <row r="12">
      <c r="A12" s="18" t="inlineStr">
        <is>
          <t>Sai Neelagiri</t>
        </is>
      </c>
      <c r="B12" s="19" t="n"/>
      <c r="C12" s="6" t="n"/>
      <c r="D12" s="19" t="n"/>
      <c r="E12" s="6" t="n"/>
      <c r="F12" s="19" t="n"/>
      <c r="G12" s="6" t="n"/>
      <c r="H12" s="19" t="n"/>
      <c r="I12" s="6" t="n"/>
      <c r="J12" s="19" t="n"/>
      <c r="K12" s="6" t="n"/>
      <c r="L12" s="19" t="n"/>
      <c r="M12" s="6" t="n"/>
      <c r="N12" s="19" t="n"/>
      <c r="O12" s="6" t="n"/>
      <c r="P12" s="19" t="n"/>
      <c r="Q12" s="6" t="n"/>
      <c r="R12" s="19" t="n"/>
      <c r="S12" s="6" t="n"/>
      <c r="T12" s="19" t="n"/>
      <c r="U12" s="6" t="n"/>
      <c r="V12" s="20">
        <f>SUM(B12,D12,F12,H12,J12,L12,N12,P12,R12,T12)</f>
        <v/>
      </c>
      <c r="W12" s="19">
        <f>COUNTIF(C12,"P")+COUNTIF(E12,"P")+COUNTIF(G12,"P")+COUNTIF(I12,"P")+COUNTIF(K12,"P")+COUNTIF(M12,"P")+COUNTIF(O12,"P")+COUNTIF(Q12,"P")+COUNTIF(S12,"P")+COUNTIF(U12,"P")</f>
        <v/>
      </c>
      <c r="X12" s="19">
        <f>COUNTIF(C12,"A")+COUNTIF(E12,"A")+COUNTIF(G12,"A")+COUNTIF(I12,"A")+COUNTIF(K12,"A")+COUNTIF(M12,"A")+COUNTIF(O12,"A")+COUNTIF(Q12,"A")+COUNTIF(S12,"A")+COUNTIF(U12,"A")</f>
        <v/>
      </c>
      <c r="Y12" s="19" t="n"/>
      <c r="Z12" s="19">
        <f>IF(Y12="","",Y12-V12)</f>
        <v/>
      </c>
      <c r="AA12" s="21">
        <f>IF(OR(Y12="",Y12=0),"",V12/Y12)</f>
        <v/>
      </c>
      <c r="AB12" s="22">
        <f>IF(OR(Y12="",Y12=0),"",IF((10-W12-X12)&lt;=0,"N/A",Z12/(10-W12-X12)))</f>
        <v/>
      </c>
      <c r="AC12" s="19">
        <f>IF(W12=0,"",ROUND((V12/W12)*10,0))</f>
        <v/>
      </c>
    </row>
    <row r="13">
      <c r="A13" s="18" t="inlineStr">
        <is>
          <t>Fletcher Meese</t>
        </is>
      </c>
      <c r="B13" s="19" t="n"/>
      <c r="C13" s="6" t="n"/>
      <c r="D13" s="19" t="n"/>
      <c r="E13" s="6" t="n"/>
      <c r="F13" s="19" t="n"/>
      <c r="G13" s="6" t="n"/>
      <c r="H13" s="19" t="n"/>
      <c r="I13" s="6" t="n"/>
      <c r="J13" s="19" t="n"/>
      <c r="K13" s="6" t="n"/>
      <c r="L13" s="19" t="n"/>
      <c r="M13" s="6" t="n"/>
      <c r="N13" s="19" t="n"/>
      <c r="O13" s="6" t="n"/>
      <c r="P13" s="19" t="n"/>
      <c r="Q13" s="6" t="n"/>
      <c r="R13" s="19" t="n"/>
      <c r="S13" s="6" t="n"/>
      <c r="T13" s="19" t="n"/>
      <c r="U13" s="6" t="n"/>
      <c r="V13" s="20">
        <f>SUM(B13,D13,F13,H13,J13,L13,N13,P13,R13,T13)</f>
        <v/>
      </c>
      <c r="W13" s="19">
        <f>COUNTIF(C13,"P")+COUNTIF(E13,"P")+COUNTIF(G13,"P")+COUNTIF(I13,"P")+COUNTIF(K13,"P")+COUNTIF(M13,"P")+COUNTIF(O13,"P")+COUNTIF(Q13,"P")+COUNTIF(S13,"P")+COUNTIF(U13,"P")</f>
        <v/>
      </c>
      <c r="X13" s="19">
        <f>COUNTIF(C13,"A")+COUNTIF(E13,"A")+COUNTIF(G13,"A")+COUNTIF(I13,"A")+COUNTIF(K13,"A")+COUNTIF(M13,"A")+COUNTIF(O13,"A")+COUNTIF(Q13,"A")+COUNTIF(S13,"A")+COUNTIF(U13,"A")</f>
        <v/>
      </c>
      <c r="Y13" s="19" t="n"/>
      <c r="Z13" s="19">
        <f>IF(Y13="","",Y13-V13)</f>
        <v/>
      </c>
      <c r="AA13" s="21">
        <f>IF(OR(Y13="",Y13=0),"",V13/Y13)</f>
        <v/>
      </c>
      <c r="AB13" s="22">
        <f>IF(OR(Y13="",Y13=0),"",IF((10-W13-X13)&lt;=0,"N/A",Z13/(10-W13-X13)))</f>
        <v/>
      </c>
      <c r="AC13" s="19">
        <f>IF(W13=0,"",ROUND((V13/W13)*10,0))</f>
        <v/>
      </c>
    </row>
    <row r="14">
      <c r="A14" s="18" t="inlineStr">
        <is>
          <t>Elijah Aldaco</t>
        </is>
      </c>
      <c r="B14" s="19" t="n"/>
      <c r="C14" s="6" t="n"/>
      <c r="D14" s="19" t="n"/>
      <c r="E14" s="6" t="n"/>
      <c r="F14" s="19" t="n"/>
      <c r="G14" s="6" t="n"/>
      <c r="H14" s="19" t="n"/>
      <c r="I14" s="6" t="n"/>
      <c r="J14" s="19" t="n"/>
      <c r="K14" s="6" t="n"/>
      <c r="L14" s="19" t="n"/>
      <c r="M14" s="6" t="n"/>
      <c r="N14" s="19" t="n"/>
      <c r="O14" s="6" t="n"/>
      <c r="P14" s="19" t="n"/>
      <c r="Q14" s="6" t="n"/>
      <c r="R14" s="19" t="n"/>
      <c r="S14" s="6" t="n"/>
      <c r="T14" s="19" t="n"/>
      <c r="U14" s="6" t="n"/>
      <c r="V14" s="20">
        <f>SUM(B14,D14,F14,H14,J14,L14,N14,P14,R14,T14)</f>
        <v/>
      </c>
      <c r="W14" s="19">
        <f>COUNTIF(C14,"P")+COUNTIF(E14,"P")+COUNTIF(G14,"P")+COUNTIF(I14,"P")+COUNTIF(K14,"P")+COUNTIF(M14,"P")+COUNTIF(O14,"P")+COUNTIF(Q14,"P")+COUNTIF(S14,"P")+COUNTIF(U14,"P")</f>
        <v/>
      </c>
      <c r="X14" s="19">
        <f>COUNTIF(C14,"A")+COUNTIF(E14,"A")+COUNTIF(G14,"A")+COUNTIF(I14,"A")+COUNTIF(K14,"A")+COUNTIF(M14,"A")+COUNTIF(O14,"A")+COUNTIF(Q14,"A")+COUNTIF(S14,"A")+COUNTIF(U14,"A")</f>
        <v/>
      </c>
      <c r="Y14" s="19" t="n"/>
      <c r="Z14" s="19">
        <f>IF(Y14="","",Y14-V14)</f>
        <v/>
      </c>
      <c r="AA14" s="21">
        <f>IF(OR(Y14="",Y14=0),"",V14/Y14)</f>
        <v/>
      </c>
      <c r="AB14" s="22">
        <f>IF(OR(Y14="",Y14=0),"",IF((10-W14-X14)&lt;=0,"N/A",Z14/(10-W14-X14)))</f>
        <v/>
      </c>
      <c r="AC14" s="19">
        <f>IF(W14=0,"",ROUND((V14/W14)*10,0))</f>
        <v/>
      </c>
    </row>
    <row r="15">
      <c r="A15" s="18" t="inlineStr">
        <is>
          <t>Cain Gutierrez</t>
        </is>
      </c>
      <c r="B15" s="19" t="n"/>
      <c r="C15" s="6" t="n"/>
      <c r="D15" s="19" t="n"/>
      <c r="E15" s="6" t="n"/>
      <c r="F15" s="19" t="n"/>
      <c r="G15" s="6" t="n"/>
      <c r="H15" s="19" t="n"/>
      <c r="I15" s="6" t="n"/>
      <c r="J15" s="19" t="n"/>
      <c r="K15" s="6" t="n"/>
      <c r="L15" s="19" t="n"/>
      <c r="M15" s="6" t="n"/>
      <c r="N15" s="19" t="n"/>
      <c r="O15" s="6" t="n"/>
      <c r="P15" s="19" t="n"/>
      <c r="Q15" s="6" t="n"/>
      <c r="R15" s="19" t="n"/>
      <c r="S15" s="6" t="n"/>
      <c r="T15" s="19" t="n"/>
      <c r="U15" s="6" t="n"/>
      <c r="V15" s="20">
        <f>SUM(B15,D15,F15,H15,J15,L15,N15,P15,R15,T15)</f>
        <v/>
      </c>
      <c r="W15" s="19">
        <f>COUNTIF(C15,"P")+COUNTIF(E15,"P")+COUNTIF(G15,"P")+COUNTIF(I15,"P")+COUNTIF(K15,"P")+COUNTIF(M15,"P")+COUNTIF(O15,"P")+COUNTIF(Q15,"P")+COUNTIF(S15,"P")+COUNTIF(U15,"P")</f>
        <v/>
      </c>
      <c r="X15" s="19">
        <f>COUNTIF(C15,"A")+COUNTIF(E15,"A")+COUNTIF(G15,"A")+COUNTIF(I15,"A")+COUNTIF(K15,"A")+COUNTIF(M15,"A")+COUNTIF(O15,"A")+COUNTIF(Q15,"A")+COUNTIF(S15,"A")+COUNTIF(U15,"A")</f>
        <v/>
      </c>
      <c r="Y15" s="19" t="n"/>
      <c r="Z15" s="19">
        <f>IF(Y15="","",Y15-V15)</f>
        <v/>
      </c>
      <c r="AA15" s="21">
        <f>IF(OR(Y15="",Y15=0),"",V15/Y15)</f>
        <v/>
      </c>
      <c r="AB15" s="22">
        <f>IF(OR(Y15="",Y15=0),"",IF((10-W15-X15)&lt;=0,"N/A",Z15/(10-W15-X15)))</f>
        <v/>
      </c>
      <c r="AC15" s="19">
        <f>IF(W15=0,"",ROUND((V15/W15)*10,0))</f>
        <v/>
      </c>
    </row>
    <row r="16">
      <c r="A16" s="18" t="inlineStr">
        <is>
          <t>Grayson Barnhart</t>
        </is>
      </c>
      <c r="B16" s="19" t="n"/>
      <c r="C16" s="6" t="n"/>
      <c r="D16" s="19" t="n"/>
      <c r="E16" s="6" t="n"/>
      <c r="F16" s="19" t="n"/>
      <c r="G16" s="6" t="n"/>
      <c r="H16" s="19" t="n"/>
      <c r="I16" s="6" t="n"/>
      <c r="J16" s="19" t="n"/>
      <c r="K16" s="6" t="n"/>
      <c r="L16" s="19" t="n"/>
      <c r="M16" s="6" t="n"/>
      <c r="N16" s="19" t="n"/>
      <c r="O16" s="6" t="n"/>
      <c r="P16" s="19" t="n"/>
      <c r="Q16" s="6" t="n"/>
      <c r="R16" s="19" t="n"/>
      <c r="S16" s="6" t="n"/>
      <c r="T16" s="19" t="n"/>
      <c r="U16" s="6" t="n"/>
      <c r="V16" s="20">
        <f>SUM(B16,D16,F16,H16,J16,L16,N16,P16,R16,T16)</f>
        <v/>
      </c>
      <c r="W16" s="19">
        <f>COUNTIF(C16,"P")+COUNTIF(E16,"P")+COUNTIF(G16,"P")+COUNTIF(I16,"P")+COUNTIF(K16,"P")+COUNTIF(M16,"P")+COUNTIF(O16,"P")+COUNTIF(Q16,"P")+COUNTIF(S16,"P")+COUNTIF(U16,"P")</f>
        <v/>
      </c>
      <c r="X16" s="19">
        <f>COUNTIF(C16,"A")+COUNTIF(E16,"A")+COUNTIF(G16,"A")+COUNTIF(I16,"A")+COUNTIF(K16,"A")+COUNTIF(M16,"A")+COUNTIF(O16,"A")+COUNTIF(Q16,"A")+COUNTIF(S16,"A")+COUNTIF(U16,"A")</f>
        <v/>
      </c>
      <c r="Y16" s="19" t="n"/>
      <c r="Z16" s="19">
        <f>IF(Y16="","",Y16-V16)</f>
        <v/>
      </c>
      <c r="AA16" s="21">
        <f>IF(OR(Y16="",Y16=0),"",V16/Y16)</f>
        <v/>
      </c>
      <c r="AB16" s="22">
        <f>IF(OR(Y16="",Y16=0),"",IF((10-W16-X16)&lt;=0,"N/A",Z16/(10-W16-X16)))</f>
        <v/>
      </c>
      <c r="AC16" s="19">
        <f>IF(W16=0,"",ROUND((V16/W16)*10,0))</f>
        <v/>
      </c>
    </row>
    <row r="17">
      <c r="A17" s="18" t="inlineStr">
        <is>
          <t>Abel Abraham</t>
        </is>
      </c>
      <c r="B17" s="19" t="n"/>
      <c r="C17" s="6" t="n"/>
      <c r="D17" s="19" t="n"/>
      <c r="E17" s="6" t="n"/>
      <c r="F17" s="19" t="n"/>
      <c r="G17" s="6" t="n"/>
      <c r="H17" s="19" t="n"/>
      <c r="I17" s="6" t="n"/>
      <c r="J17" s="19" t="n"/>
      <c r="K17" s="6" t="n"/>
      <c r="L17" s="19" t="n"/>
      <c r="M17" s="6" t="n"/>
      <c r="N17" s="19" t="n"/>
      <c r="O17" s="6" t="n"/>
      <c r="P17" s="19" t="n"/>
      <c r="Q17" s="6" t="n"/>
      <c r="R17" s="19" t="n"/>
      <c r="S17" s="6" t="n"/>
      <c r="T17" s="19" t="n"/>
      <c r="U17" s="6" t="n"/>
      <c r="V17" s="20">
        <f>SUM(B17,D17,F17,H17,J17,L17,N17,P17,R17,T17)</f>
        <v/>
      </c>
      <c r="W17" s="19">
        <f>COUNTIF(C17,"P")+COUNTIF(E17,"P")+COUNTIF(G17,"P")+COUNTIF(I17,"P")+COUNTIF(K17,"P")+COUNTIF(M17,"P")+COUNTIF(O17,"P")+COUNTIF(Q17,"P")+COUNTIF(S17,"P")+COUNTIF(U17,"P")</f>
        <v/>
      </c>
      <c r="X17" s="19">
        <f>COUNTIF(C17,"A")+COUNTIF(E17,"A")+COUNTIF(G17,"A")+COUNTIF(I17,"A")+COUNTIF(K17,"A")+COUNTIF(M17,"A")+COUNTIF(O17,"A")+COUNTIF(Q17,"A")+COUNTIF(S17,"A")+COUNTIF(U17,"A")</f>
        <v/>
      </c>
      <c r="Y17" s="19" t="n"/>
      <c r="Z17" s="19">
        <f>IF(Y17="","",Y17-V17)</f>
        <v/>
      </c>
      <c r="AA17" s="21">
        <f>IF(OR(Y17="",Y17=0),"",V17/Y17)</f>
        <v/>
      </c>
      <c r="AB17" s="22">
        <f>IF(OR(Y17="",Y17=0),"",IF((10-W17-X17)&lt;=0,"N/A",Z17/(10-W17-X17)))</f>
        <v/>
      </c>
      <c r="AC17" s="19">
        <f>IF(W17=0,"",ROUND((V17/W17)*10,0))</f>
        <v/>
      </c>
    </row>
    <row r="18">
      <c r="A18" s="18" t="inlineStr">
        <is>
          <t>John Joby</t>
        </is>
      </c>
      <c r="B18" s="19" t="n"/>
      <c r="C18" s="6" t="n"/>
      <c r="D18" s="19" t="n"/>
      <c r="E18" s="6" t="n"/>
      <c r="F18" s="19" t="n"/>
      <c r="G18" s="6" t="n"/>
      <c r="H18" s="19" t="n"/>
      <c r="I18" s="6" t="n"/>
      <c r="J18" s="19" t="n"/>
      <c r="K18" s="6" t="n"/>
      <c r="L18" s="19" t="n"/>
      <c r="M18" s="6" t="n"/>
      <c r="N18" s="19" t="n"/>
      <c r="O18" s="6" t="n"/>
      <c r="P18" s="19" t="n"/>
      <c r="Q18" s="6" t="n"/>
      <c r="R18" s="19" t="n"/>
      <c r="S18" s="6" t="n"/>
      <c r="T18" s="19" t="n"/>
      <c r="U18" s="6" t="n"/>
      <c r="V18" s="20">
        <f>SUM(B18,D18,F18,H18,J18,L18,N18,P18,R18,T18)</f>
        <v/>
      </c>
      <c r="W18" s="19">
        <f>COUNTIF(C18,"P")+COUNTIF(E18,"P")+COUNTIF(G18,"P")+COUNTIF(I18,"P")+COUNTIF(K18,"P")+COUNTIF(M18,"P")+COUNTIF(O18,"P")+COUNTIF(Q18,"P")+COUNTIF(S18,"P")+COUNTIF(U18,"P")</f>
        <v/>
      </c>
      <c r="X18" s="19">
        <f>COUNTIF(C18,"A")+COUNTIF(E18,"A")+COUNTIF(G18,"A")+COUNTIF(I18,"A")+COUNTIF(K18,"A")+COUNTIF(M18,"A")+COUNTIF(O18,"A")+COUNTIF(Q18,"A")+COUNTIF(S18,"A")+COUNTIF(U18,"A")</f>
        <v/>
      </c>
      <c r="Y18" s="19" t="n"/>
      <c r="Z18" s="19">
        <f>IF(Y18="","",Y18-V18)</f>
        <v/>
      </c>
      <c r="AA18" s="21">
        <f>IF(OR(Y18="",Y18=0),"",V18/Y18)</f>
        <v/>
      </c>
      <c r="AB18" s="22">
        <f>IF(OR(Y18="",Y18=0),"",IF((10-W18-X18)&lt;=0,"N/A",Z18/(10-W18-X18)))</f>
        <v/>
      </c>
      <c r="AC18" s="19">
        <f>IF(W18=0,"",ROUND((V18/W18)*10,0))</f>
        <v/>
      </c>
    </row>
    <row r="19">
      <c r="A19" s="18" t="inlineStr">
        <is>
          <t>Jason Bean</t>
        </is>
      </c>
      <c r="B19" s="19" t="n"/>
      <c r="C19" s="6" t="n"/>
      <c r="D19" s="19" t="n"/>
      <c r="E19" s="6" t="n"/>
      <c r="F19" s="19" t="n"/>
      <c r="G19" s="6" t="n"/>
      <c r="H19" s="19" t="n"/>
      <c r="I19" s="6" t="n"/>
      <c r="J19" s="19" t="n"/>
      <c r="K19" s="6" t="n"/>
      <c r="L19" s="19" t="n"/>
      <c r="M19" s="6" t="n"/>
      <c r="N19" s="19" t="n"/>
      <c r="O19" s="6" t="n"/>
      <c r="P19" s="19" t="n"/>
      <c r="Q19" s="6" t="n"/>
      <c r="R19" s="19" t="n"/>
      <c r="S19" s="6" t="n"/>
      <c r="T19" s="19" t="n"/>
      <c r="U19" s="6" t="n"/>
      <c r="V19" s="20">
        <f>SUM(B19,D19,F19,H19,J19,L19,N19,P19,R19,T19)</f>
        <v/>
      </c>
      <c r="W19" s="19">
        <f>COUNTIF(C19,"P")+COUNTIF(E19,"P")+COUNTIF(G19,"P")+COUNTIF(I19,"P")+COUNTIF(K19,"P")+COUNTIF(M19,"P")+COUNTIF(O19,"P")+COUNTIF(Q19,"P")+COUNTIF(S19,"P")+COUNTIF(U19,"P")</f>
        <v/>
      </c>
      <c r="X19" s="19">
        <f>COUNTIF(C19,"A")+COUNTIF(E19,"A")+COUNTIF(G19,"A")+COUNTIF(I19,"A")+COUNTIF(K19,"A")+COUNTIF(M19,"A")+COUNTIF(O19,"A")+COUNTIF(Q19,"A")+COUNTIF(S19,"A")+COUNTIF(U19,"A")</f>
        <v/>
      </c>
      <c r="Y19" s="19" t="n"/>
      <c r="Z19" s="19">
        <f>IF(Y19="","",Y19-V19)</f>
        <v/>
      </c>
      <c r="AA19" s="21">
        <f>IF(OR(Y19="",Y19=0),"",V19/Y19)</f>
        <v/>
      </c>
      <c r="AB19" s="22">
        <f>IF(OR(Y19="",Y19=0),"",IF((10-W19-X19)&lt;=0,"N/A",Z19/(10-W19-X19)))</f>
        <v/>
      </c>
      <c r="AC19" s="19">
        <f>IF(W19=0,"",ROUND((V19/W19)*10,0))</f>
        <v/>
      </c>
    </row>
    <row r="22">
      <c r="A22" s="27" t="inlineStr">
        <is>
          <t>Q2 — Quarter 2</t>
        </is>
      </c>
    </row>
    <row r="23">
      <c r="A23" s="17" t="inlineStr">
        <is>
          <t>Student Name</t>
        </is>
      </c>
      <c r="B23" s="17" t="inlineStr">
        <is>
          <t>Sess 1</t>
        </is>
      </c>
      <c r="C23" s="17" t="inlineStr">
        <is>
          <t>Att 1</t>
        </is>
      </c>
      <c r="D23" s="17" t="inlineStr">
        <is>
          <t>Sess 2</t>
        </is>
      </c>
      <c r="E23" s="17" t="inlineStr">
        <is>
          <t>Att 2</t>
        </is>
      </c>
      <c r="F23" s="17" t="inlineStr">
        <is>
          <t>Sess 3</t>
        </is>
      </c>
      <c r="G23" s="17" t="inlineStr">
        <is>
          <t>Att 3</t>
        </is>
      </c>
      <c r="H23" s="17" t="inlineStr">
        <is>
          <t>Sess 4</t>
        </is>
      </c>
      <c r="I23" s="17" t="inlineStr">
        <is>
          <t>Att 4</t>
        </is>
      </c>
      <c r="J23" s="17" t="inlineStr">
        <is>
          <t>Sess 5</t>
        </is>
      </c>
      <c r="K23" s="17" t="inlineStr">
        <is>
          <t>Att 5</t>
        </is>
      </c>
      <c r="L23" s="17" t="inlineStr">
        <is>
          <t>Sess 6</t>
        </is>
      </c>
      <c r="M23" s="17" t="inlineStr">
        <is>
          <t>Att 6</t>
        </is>
      </c>
      <c r="N23" s="17" t="inlineStr">
        <is>
          <t>Sess 7</t>
        </is>
      </c>
      <c r="O23" s="17" t="inlineStr">
        <is>
          <t>Att 7</t>
        </is>
      </c>
      <c r="P23" s="17" t="inlineStr">
        <is>
          <t>Sess 8</t>
        </is>
      </c>
      <c r="Q23" s="17" t="inlineStr">
        <is>
          <t>Att 8</t>
        </is>
      </c>
      <c r="R23" s="17" t="inlineStr">
        <is>
          <t>Sess 9</t>
        </is>
      </c>
      <c r="S23" s="17" t="inlineStr">
        <is>
          <t>Att 9</t>
        </is>
      </c>
      <c r="T23" s="17" t="inlineStr">
        <is>
          <t>Sess 10</t>
        </is>
      </c>
      <c r="U23" s="17" t="inlineStr">
        <is>
          <t>Att 10</t>
        </is>
      </c>
      <c r="V23" s="17" t="inlineStr">
        <is>
          <t>Min Met</t>
        </is>
      </c>
      <c r="W23" s="17" t="inlineStr">
        <is>
          <t>Sess Att</t>
        </is>
      </c>
      <c r="X23" s="17" t="inlineStr">
        <is>
          <t>Absences</t>
        </is>
      </c>
      <c r="Y23" s="17" t="inlineStr">
        <is>
          <t>IEP Req</t>
        </is>
      </c>
      <c r="Z23" s="17" t="inlineStr">
        <is>
          <t>Min Remain</t>
        </is>
      </c>
      <c r="AA23" s="17" t="inlineStr">
        <is>
          <t>% Complete</t>
        </is>
      </c>
      <c r="AB23" s="17" t="inlineStr">
        <is>
          <t>Pace Needed</t>
        </is>
      </c>
      <c r="AC23" s="17" t="inlineStr">
        <is>
          <t>Projected</t>
        </is>
      </c>
    </row>
    <row r="24">
      <c r="A24" s="18" t="inlineStr">
        <is>
          <t>Raya Hightower</t>
        </is>
      </c>
      <c r="B24" s="19" t="n"/>
      <c r="C24" s="6" t="n"/>
      <c r="D24" s="19" t="n"/>
      <c r="E24" s="6" t="n"/>
      <c r="F24" s="19" t="n"/>
      <c r="G24" s="6" t="n"/>
      <c r="H24" s="19" t="n"/>
      <c r="I24" s="6" t="n"/>
      <c r="J24" s="19" t="n"/>
      <c r="K24" s="6" t="n"/>
      <c r="L24" s="19" t="n"/>
      <c r="M24" s="6" t="n"/>
      <c r="N24" s="19" t="n"/>
      <c r="O24" s="6" t="n"/>
      <c r="P24" s="19" t="n"/>
      <c r="Q24" s="6" t="n"/>
      <c r="R24" s="19" t="n"/>
      <c r="S24" s="6" t="n"/>
      <c r="T24" s="19" t="n"/>
      <c r="U24" s="6" t="n"/>
      <c r="V24" s="20">
        <f>SUM(B24,D24,F24,H24,J24,L24,N24,P24,R24,T24)</f>
        <v/>
      </c>
      <c r="W24" s="19">
        <f>COUNTIF(C24,"P")+COUNTIF(E24,"P")+COUNTIF(G24,"P")+COUNTIF(I24,"P")+COUNTIF(K24,"P")+COUNTIF(M24,"P")+COUNTIF(O24,"P")+COUNTIF(Q24,"P")+COUNTIF(S24,"P")+COUNTIF(U24,"P")</f>
        <v/>
      </c>
      <c r="X24" s="19">
        <f>COUNTIF(C24,"A")+COUNTIF(E24,"A")+COUNTIF(G24,"A")+COUNTIF(I24,"A")+COUNTIF(K24,"A")+COUNTIF(M24,"A")+COUNTIF(O24,"A")+COUNTIF(Q24,"A")+COUNTIF(S24,"A")+COUNTIF(U24,"A")</f>
        <v/>
      </c>
      <c r="Y24" s="19" t="n"/>
      <c r="Z24" s="19">
        <f>IF(Y24="","",Y24-V24)</f>
        <v/>
      </c>
      <c r="AA24" s="21">
        <f>IF(OR(Y24="",Y24=0),"",V24/Y24)</f>
        <v/>
      </c>
      <c r="AB24" s="22">
        <f>IF(OR(Y24="",Y24=0),"",IF((10-W24-X24)&lt;=0,"N/A",Z24/(10-W24-X24)))</f>
        <v/>
      </c>
      <c r="AC24" s="19">
        <f>IF(W24=0,"",ROUND((V24/W24)*10,0))</f>
        <v/>
      </c>
    </row>
    <row r="25">
      <c r="A25" s="18" t="inlineStr">
        <is>
          <t>Anu Vijay Anand</t>
        </is>
      </c>
      <c r="B25" s="19" t="n"/>
      <c r="C25" s="6" t="n"/>
      <c r="D25" s="19" t="n"/>
      <c r="E25" s="6" t="n"/>
      <c r="F25" s="19" t="n"/>
      <c r="G25" s="6" t="n"/>
      <c r="H25" s="19" t="n"/>
      <c r="I25" s="6" t="n"/>
      <c r="J25" s="19" t="n"/>
      <c r="K25" s="6" t="n"/>
      <c r="L25" s="19" t="n"/>
      <c r="M25" s="6" t="n"/>
      <c r="N25" s="19" t="n"/>
      <c r="O25" s="6" t="n"/>
      <c r="P25" s="19" t="n"/>
      <c r="Q25" s="6" t="n"/>
      <c r="R25" s="19" t="n"/>
      <c r="S25" s="6" t="n"/>
      <c r="T25" s="19" t="n"/>
      <c r="U25" s="6" t="n"/>
      <c r="V25" s="20">
        <f>SUM(B25,D25,F25,H25,J25,L25,N25,P25,R25,T25)</f>
        <v/>
      </c>
      <c r="W25" s="19">
        <f>COUNTIF(C25,"P")+COUNTIF(E25,"P")+COUNTIF(G25,"P")+COUNTIF(I25,"P")+COUNTIF(K25,"P")+COUNTIF(M25,"P")+COUNTIF(O25,"P")+COUNTIF(Q25,"P")+COUNTIF(S25,"P")+COUNTIF(U25,"P")</f>
        <v/>
      </c>
      <c r="X25" s="19">
        <f>COUNTIF(C25,"A")+COUNTIF(E25,"A")+COUNTIF(G25,"A")+COUNTIF(I25,"A")+COUNTIF(K25,"A")+COUNTIF(M25,"A")+COUNTIF(O25,"A")+COUNTIF(Q25,"A")+COUNTIF(S25,"A")+COUNTIF(U25,"A")</f>
        <v/>
      </c>
      <c r="Y25" s="19" t="n"/>
      <c r="Z25" s="19">
        <f>IF(Y25="","",Y25-V25)</f>
        <v/>
      </c>
      <c r="AA25" s="21">
        <f>IF(OR(Y25="",Y25=0),"",V25/Y25)</f>
        <v/>
      </c>
      <c r="AB25" s="22">
        <f>IF(OR(Y25="",Y25=0),"",IF((10-W25-X25)&lt;=0,"N/A",Z25/(10-W25-X25)))</f>
        <v/>
      </c>
      <c r="AC25" s="19">
        <f>IF(W25=0,"",ROUND((V25/W25)*10,0))</f>
        <v/>
      </c>
    </row>
    <row r="26">
      <c r="A26" s="18" t="inlineStr">
        <is>
          <t>Aadhya Gone</t>
        </is>
      </c>
      <c r="B26" s="19" t="n"/>
      <c r="C26" s="6" t="n"/>
      <c r="D26" s="19" t="n"/>
      <c r="E26" s="6" t="n"/>
      <c r="F26" s="19" t="n"/>
      <c r="G26" s="6" t="n"/>
      <c r="H26" s="19" t="n"/>
      <c r="I26" s="6" t="n"/>
      <c r="J26" s="19" t="n"/>
      <c r="K26" s="6" t="n"/>
      <c r="L26" s="19" t="n"/>
      <c r="M26" s="6" t="n"/>
      <c r="N26" s="19" t="n"/>
      <c r="O26" s="6" t="n"/>
      <c r="P26" s="19" t="n"/>
      <c r="Q26" s="6" t="n"/>
      <c r="R26" s="19" t="n"/>
      <c r="S26" s="6" t="n"/>
      <c r="T26" s="19" t="n"/>
      <c r="U26" s="6" t="n"/>
      <c r="V26" s="20">
        <f>SUM(B26,D26,F26,H26,J26,L26,N26,P26,R26,T26)</f>
        <v/>
      </c>
      <c r="W26" s="19">
        <f>COUNTIF(C26,"P")+COUNTIF(E26,"P")+COUNTIF(G26,"P")+COUNTIF(I26,"P")+COUNTIF(K26,"P")+COUNTIF(M26,"P")+COUNTIF(O26,"P")+COUNTIF(Q26,"P")+COUNTIF(S26,"P")+COUNTIF(U26,"P")</f>
        <v/>
      </c>
      <c r="X26" s="19">
        <f>COUNTIF(C26,"A")+COUNTIF(E26,"A")+COUNTIF(G26,"A")+COUNTIF(I26,"A")+COUNTIF(K26,"A")+COUNTIF(M26,"A")+COUNTIF(O26,"A")+COUNTIF(Q26,"A")+COUNTIF(S26,"A")+COUNTIF(U26,"A")</f>
        <v/>
      </c>
      <c r="Y26" s="19" t="n"/>
      <c r="Z26" s="19">
        <f>IF(Y26="","",Y26-V26)</f>
        <v/>
      </c>
      <c r="AA26" s="21">
        <f>IF(OR(Y26="",Y26=0),"",V26/Y26)</f>
        <v/>
      </c>
      <c r="AB26" s="22">
        <f>IF(OR(Y26="",Y26=0),"",IF((10-W26-X26)&lt;=0,"N/A",Z26/(10-W26-X26)))</f>
        <v/>
      </c>
      <c r="AC26" s="19">
        <f>IF(W26=0,"",ROUND((V26/W26)*10,0))</f>
        <v/>
      </c>
    </row>
    <row r="27">
      <c r="A27" s="18" t="inlineStr">
        <is>
          <t>Sumeyah Khan</t>
        </is>
      </c>
      <c r="B27" s="19" t="n"/>
      <c r="C27" s="6" t="n"/>
      <c r="D27" s="19" t="n"/>
      <c r="E27" s="6" t="n"/>
      <c r="F27" s="19" t="n"/>
      <c r="G27" s="6" t="n"/>
      <c r="H27" s="19" t="n"/>
      <c r="I27" s="6" t="n"/>
      <c r="J27" s="19" t="n"/>
      <c r="K27" s="6" t="n"/>
      <c r="L27" s="19" t="n"/>
      <c r="M27" s="6" t="n"/>
      <c r="N27" s="19" t="n"/>
      <c r="O27" s="6" t="n"/>
      <c r="P27" s="19" t="n"/>
      <c r="Q27" s="6" t="n"/>
      <c r="R27" s="19" t="n"/>
      <c r="S27" s="6" t="n"/>
      <c r="T27" s="19" t="n"/>
      <c r="U27" s="6" t="n"/>
      <c r="V27" s="20">
        <f>SUM(B27,D27,F27,H27,J27,L27,N27,P27,R27,T27)</f>
        <v/>
      </c>
      <c r="W27" s="19">
        <f>COUNTIF(C27,"P")+COUNTIF(E27,"P")+COUNTIF(G27,"P")+COUNTIF(I27,"P")+COUNTIF(K27,"P")+COUNTIF(M27,"P")+COUNTIF(O27,"P")+COUNTIF(Q27,"P")+COUNTIF(S27,"P")+COUNTIF(U27,"P")</f>
        <v/>
      </c>
      <c r="X27" s="19">
        <f>COUNTIF(C27,"A")+COUNTIF(E27,"A")+COUNTIF(G27,"A")+COUNTIF(I27,"A")+COUNTIF(K27,"A")+COUNTIF(M27,"A")+COUNTIF(O27,"A")+COUNTIF(Q27,"A")+COUNTIF(S27,"A")+COUNTIF(U27,"A")</f>
        <v/>
      </c>
      <c r="Y27" s="19" t="n"/>
      <c r="Z27" s="19">
        <f>IF(Y27="","",Y27-V27)</f>
        <v/>
      </c>
      <c r="AA27" s="21">
        <f>IF(OR(Y27="",Y27=0),"",V27/Y27)</f>
        <v/>
      </c>
      <c r="AB27" s="22">
        <f>IF(OR(Y27="",Y27=0),"",IF((10-W27-X27)&lt;=0,"N/A",Z27/(10-W27-X27)))</f>
        <v/>
      </c>
      <c r="AC27" s="19">
        <f>IF(W27=0,"",ROUND((V27/W27)*10,0))</f>
        <v/>
      </c>
    </row>
    <row r="28">
      <c r="A28" s="18" t="inlineStr">
        <is>
          <t>Maria Mujeeb</t>
        </is>
      </c>
      <c r="B28" s="19" t="n"/>
      <c r="C28" s="6" t="n"/>
      <c r="D28" s="19" t="n"/>
      <c r="E28" s="6" t="n"/>
      <c r="F28" s="19" t="n"/>
      <c r="G28" s="6" t="n"/>
      <c r="H28" s="19" t="n"/>
      <c r="I28" s="6" t="n"/>
      <c r="J28" s="19" t="n"/>
      <c r="K28" s="6" t="n"/>
      <c r="L28" s="19" t="n"/>
      <c r="M28" s="6" t="n"/>
      <c r="N28" s="19" t="n"/>
      <c r="O28" s="6" t="n"/>
      <c r="P28" s="19" t="n"/>
      <c r="Q28" s="6" t="n"/>
      <c r="R28" s="19" t="n"/>
      <c r="S28" s="6" t="n"/>
      <c r="T28" s="19" t="n"/>
      <c r="U28" s="6" t="n"/>
      <c r="V28" s="20">
        <f>SUM(B28,D28,F28,H28,J28,L28,N28,P28,R28,T28)</f>
        <v/>
      </c>
      <c r="W28" s="19">
        <f>COUNTIF(C28,"P")+COUNTIF(E28,"P")+COUNTIF(G28,"P")+COUNTIF(I28,"P")+COUNTIF(K28,"P")+COUNTIF(M28,"P")+COUNTIF(O28,"P")+COUNTIF(Q28,"P")+COUNTIF(S28,"P")+COUNTIF(U28,"P")</f>
        <v/>
      </c>
      <c r="X28" s="19">
        <f>COUNTIF(C28,"A")+COUNTIF(E28,"A")+COUNTIF(G28,"A")+COUNTIF(I28,"A")+COUNTIF(K28,"A")+COUNTIF(M28,"A")+COUNTIF(O28,"A")+COUNTIF(Q28,"A")+COUNTIF(S28,"A")+COUNTIF(U28,"A")</f>
        <v/>
      </c>
      <c r="Y28" s="19" t="n"/>
      <c r="Z28" s="19">
        <f>IF(Y28="","",Y28-V28)</f>
        <v/>
      </c>
      <c r="AA28" s="21">
        <f>IF(OR(Y28="",Y28=0),"",V28/Y28)</f>
        <v/>
      </c>
      <c r="AB28" s="22">
        <f>IF(OR(Y28="",Y28=0),"",IF((10-W28-X28)&lt;=0,"N/A",Z28/(10-W28-X28)))</f>
        <v/>
      </c>
      <c r="AC28" s="19">
        <f>IF(W28=0,"",ROUND((V28/W28)*10,0))</f>
        <v/>
      </c>
    </row>
    <row r="29">
      <c r="A29" s="18" t="inlineStr">
        <is>
          <t>Jace Ratliff</t>
        </is>
      </c>
      <c r="B29" s="19" t="n"/>
      <c r="C29" s="6" t="n"/>
      <c r="D29" s="19" t="n"/>
      <c r="E29" s="6" t="n"/>
      <c r="F29" s="19" t="n"/>
      <c r="G29" s="6" t="n"/>
      <c r="H29" s="19" t="n"/>
      <c r="I29" s="6" t="n"/>
      <c r="J29" s="19" t="n"/>
      <c r="K29" s="6" t="n"/>
      <c r="L29" s="19" t="n"/>
      <c r="M29" s="6" t="n"/>
      <c r="N29" s="19" t="n"/>
      <c r="O29" s="6" t="n"/>
      <c r="P29" s="19" t="n"/>
      <c r="Q29" s="6" t="n"/>
      <c r="R29" s="19" t="n"/>
      <c r="S29" s="6" t="n"/>
      <c r="T29" s="19" t="n"/>
      <c r="U29" s="6" t="n"/>
      <c r="V29" s="20">
        <f>SUM(B29,D29,F29,H29,J29,L29,N29,P29,R29,T29)</f>
        <v/>
      </c>
      <c r="W29" s="19">
        <f>COUNTIF(C29,"P")+COUNTIF(E29,"P")+COUNTIF(G29,"P")+COUNTIF(I29,"P")+COUNTIF(K29,"P")+COUNTIF(M29,"P")+COUNTIF(O29,"P")+COUNTIF(Q29,"P")+COUNTIF(S29,"P")+COUNTIF(U29,"P")</f>
        <v/>
      </c>
      <c r="X29" s="19">
        <f>COUNTIF(C29,"A")+COUNTIF(E29,"A")+COUNTIF(G29,"A")+COUNTIF(I29,"A")+COUNTIF(K29,"A")+COUNTIF(M29,"A")+COUNTIF(O29,"A")+COUNTIF(Q29,"A")+COUNTIF(S29,"A")+COUNTIF(U29,"A")</f>
        <v/>
      </c>
      <c r="Y29" s="19" t="n"/>
      <c r="Z29" s="19">
        <f>IF(Y29="","",Y29-V29)</f>
        <v/>
      </c>
      <c r="AA29" s="21">
        <f>IF(OR(Y29="",Y29=0),"",V29/Y29)</f>
        <v/>
      </c>
      <c r="AB29" s="22">
        <f>IF(OR(Y29="",Y29=0),"",IF((10-W29-X29)&lt;=0,"N/A",Z29/(10-W29-X29)))</f>
        <v/>
      </c>
      <c r="AC29" s="19">
        <f>IF(W29=0,"",ROUND((V29/W29)*10,0))</f>
        <v/>
      </c>
    </row>
    <row r="30">
      <c r="A30" s="18" t="inlineStr">
        <is>
          <t>Evan Allen</t>
        </is>
      </c>
      <c r="B30" s="19" t="n"/>
      <c r="C30" s="6" t="n"/>
      <c r="D30" s="19" t="n"/>
      <c r="E30" s="6" t="n"/>
      <c r="F30" s="19" t="n"/>
      <c r="G30" s="6" t="n"/>
      <c r="H30" s="19" t="n"/>
      <c r="I30" s="6" t="n"/>
      <c r="J30" s="19" t="n"/>
      <c r="K30" s="6" t="n"/>
      <c r="L30" s="19" t="n"/>
      <c r="M30" s="6" t="n"/>
      <c r="N30" s="19" t="n"/>
      <c r="O30" s="6" t="n"/>
      <c r="P30" s="19" t="n"/>
      <c r="Q30" s="6" t="n"/>
      <c r="R30" s="19" t="n"/>
      <c r="S30" s="6" t="n"/>
      <c r="T30" s="19" t="n"/>
      <c r="U30" s="6" t="n"/>
      <c r="V30" s="20">
        <f>SUM(B30,D30,F30,H30,J30,L30,N30,P30,R30,T30)</f>
        <v/>
      </c>
      <c r="W30" s="19">
        <f>COUNTIF(C30,"P")+COUNTIF(E30,"P")+COUNTIF(G30,"P")+COUNTIF(I30,"P")+COUNTIF(K30,"P")+COUNTIF(M30,"P")+COUNTIF(O30,"P")+COUNTIF(Q30,"P")+COUNTIF(S30,"P")+COUNTIF(U30,"P")</f>
        <v/>
      </c>
      <c r="X30" s="19">
        <f>COUNTIF(C30,"A")+COUNTIF(E30,"A")+COUNTIF(G30,"A")+COUNTIF(I30,"A")+COUNTIF(K30,"A")+COUNTIF(M30,"A")+COUNTIF(O30,"A")+COUNTIF(Q30,"A")+COUNTIF(S30,"A")+COUNTIF(U30,"A")</f>
        <v/>
      </c>
      <c r="Y30" s="19" t="n"/>
      <c r="Z30" s="19">
        <f>IF(Y30="","",Y30-V30)</f>
        <v/>
      </c>
      <c r="AA30" s="21">
        <f>IF(OR(Y30="",Y30=0),"",V30/Y30)</f>
        <v/>
      </c>
      <c r="AB30" s="22">
        <f>IF(OR(Y30="",Y30=0),"",IF((10-W30-X30)&lt;=0,"N/A",Z30/(10-W30-X30)))</f>
        <v/>
      </c>
      <c r="AC30" s="19">
        <f>IF(W30=0,"",ROUND((V30/W30)*10,0))</f>
        <v/>
      </c>
    </row>
    <row r="31">
      <c r="A31" s="18" t="inlineStr">
        <is>
          <t>Sai Neelagiri</t>
        </is>
      </c>
      <c r="B31" s="19" t="n"/>
      <c r="C31" s="6" t="n"/>
      <c r="D31" s="19" t="n"/>
      <c r="E31" s="6" t="n"/>
      <c r="F31" s="19" t="n"/>
      <c r="G31" s="6" t="n"/>
      <c r="H31" s="19" t="n"/>
      <c r="I31" s="6" t="n"/>
      <c r="J31" s="19" t="n"/>
      <c r="K31" s="6" t="n"/>
      <c r="L31" s="19" t="n"/>
      <c r="M31" s="6" t="n"/>
      <c r="N31" s="19" t="n"/>
      <c r="O31" s="6" t="n"/>
      <c r="P31" s="19" t="n"/>
      <c r="Q31" s="6" t="n"/>
      <c r="R31" s="19" t="n"/>
      <c r="S31" s="6" t="n"/>
      <c r="T31" s="19" t="n"/>
      <c r="U31" s="6" t="n"/>
      <c r="V31" s="20">
        <f>SUM(B31,D31,F31,H31,J31,L31,N31,P31,R31,T31)</f>
        <v/>
      </c>
      <c r="W31" s="19">
        <f>COUNTIF(C31,"P")+COUNTIF(E31,"P")+COUNTIF(G31,"P")+COUNTIF(I31,"P")+COUNTIF(K31,"P")+COUNTIF(M31,"P")+COUNTIF(O31,"P")+COUNTIF(Q31,"P")+COUNTIF(S31,"P")+COUNTIF(U31,"P")</f>
        <v/>
      </c>
      <c r="X31" s="19">
        <f>COUNTIF(C31,"A")+COUNTIF(E31,"A")+COUNTIF(G31,"A")+COUNTIF(I31,"A")+COUNTIF(K31,"A")+COUNTIF(M31,"A")+COUNTIF(O31,"A")+COUNTIF(Q31,"A")+COUNTIF(S31,"A")+COUNTIF(U31,"A")</f>
        <v/>
      </c>
      <c r="Y31" s="19" t="n"/>
      <c r="Z31" s="19">
        <f>IF(Y31="","",Y31-V31)</f>
        <v/>
      </c>
      <c r="AA31" s="21">
        <f>IF(OR(Y31="",Y31=0),"",V31/Y31)</f>
        <v/>
      </c>
      <c r="AB31" s="22">
        <f>IF(OR(Y31="",Y31=0),"",IF((10-W31-X31)&lt;=0,"N/A",Z31/(10-W31-X31)))</f>
        <v/>
      </c>
      <c r="AC31" s="19">
        <f>IF(W31=0,"",ROUND((V31/W31)*10,0))</f>
        <v/>
      </c>
    </row>
    <row r="32">
      <c r="A32" s="18" t="inlineStr">
        <is>
          <t>Fletcher Meese</t>
        </is>
      </c>
      <c r="B32" s="19" t="n"/>
      <c r="C32" s="6" t="n"/>
      <c r="D32" s="19" t="n"/>
      <c r="E32" s="6" t="n"/>
      <c r="F32" s="19" t="n"/>
      <c r="G32" s="6" t="n"/>
      <c r="H32" s="19" t="n"/>
      <c r="I32" s="6" t="n"/>
      <c r="J32" s="19" t="n"/>
      <c r="K32" s="6" t="n"/>
      <c r="L32" s="19" t="n"/>
      <c r="M32" s="6" t="n"/>
      <c r="N32" s="19" t="n"/>
      <c r="O32" s="6" t="n"/>
      <c r="P32" s="19" t="n"/>
      <c r="Q32" s="6" t="n"/>
      <c r="R32" s="19" t="n"/>
      <c r="S32" s="6" t="n"/>
      <c r="T32" s="19" t="n"/>
      <c r="U32" s="6" t="n"/>
      <c r="V32" s="20">
        <f>SUM(B32,D32,F32,H32,J32,L32,N32,P32,R32,T32)</f>
        <v/>
      </c>
      <c r="W32" s="19">
        <f>COUNTIF(C32,"P")+COUNTIF(E32,"P")+COUNTIF(G32,"P")+COUNTIF(I32,"P")+COUNTIF(K32,"P")+COUNTIF(M32,"P")+COUNTIF(O32,"P")+COUNTIF(Q32,"P")+COUNTIF(S32,"P")+COUNTIF(U32,"P")</f>
        <v/>
      </c>
      <c r="X32" s="19">
        <f>COUNTIF(C32,"A")+COUNTIF(E32,"A")+COUNTIF(G32,"A")+COUNTIF(I32,"A")+COUNTIF(K32,"A")+COUNTIF(M32,"A")+COUNTIF(O32,"A")+COUNTIF(Q32,"A")+COUNTIF(S32,"A")+COUNTIF(U32,"A")</f>
        <v/>
      </c>
      <c r="Y32" s="19" t="n"/>
      <c r="Z32" s="19">
        <f>IF(Y32="","",Y32-V32)</f>
        <v/>
      </c>
      <c r="AA32" s="21">
        <f>IF(OR(Y32="",Y32=0),"",V32/Y32)</f>
        <v/>
      </c>
      <c r="AB32" s="22">
        <f>IF(OR(Y32="",Y32=0),"",IF((10-W32-X32)&lt;=0,"N/A",Z32/(10-W32-X32)))</f>
        <v/>
      </c>
      <c r="AC32" s="19">
        <f>IF(W32=0,"",ROUND((V32/W32)*10,0))</f>
        <v/>
      </c>
    </row>
    <row r="33">
      <c r="A33" s="18" t="inlineStr">
        <is>
          <t>Elijah Aldaco</t>
        </is>
      </c>
      <c r="B33" s="19" t="n"/>
      <c r="C33" s="6" t="n"/>
      <c r="D33" s="19" t="n"/>
      <c r="E33" s="6" t="n"/>
      <c r="F33" s="19" t="n"/>
      <c r="G33" s="6" t="n"/>
      <c r="H33" s="19" t="n"/>
      <c r="I33" s="6" t="n"/>
      <c r="J33" s="19" t="n"/>
      <c r="K33" s="6" t="n"/>
      <c r="L33" s="19" t="n"/>
      <c r="M33" s="6" t="n"/>
      <c r="N33" s="19" t="n"/>
      <c r="O33" s="6" t="n"/>
      <c r="P33" s="19" t="n"/>
      <c r="Q33" s="6" t="n"/>
      <c r="R33" s="19" t="n"/>
      <c r="S33" s="6" t="n"/>
      <c r="T33" s="19" t="n"/>
      <c r="U33" s="6" t="n"/>
      <c r="V33" s="20">
        <f>SUM(B33,D33,F33,H33,J33,L33,N33,P33,R33,T33)</f>
        <v/>
      </c>
      <c r="W33" s="19">
        <f>COUNTIF(C33,"P")+COUNTIF(E33,"P")+COUNTIF(G33,"P")+COUNTIF(I33,"P")+COUNTIF(K33,"P")+COUNTIF(M33,"P")+COUNTIF(O33,"P")+COUNTIF(Q33,"P")+COUNTIF(S33,"P")+COUNTIF(U33,"P")</f>
        <v/>
      </c>
      <c r="X33" s="19">
        <f>COUNTIF(C33,"A")+COUNTIF(E33,"A")+COUNTIF(G33,"A")+COUNTIF(I33,"A")+COUNTIF(K33,"A")+COUNTIF(M33,"A")+COUNTIF(O33,"A")+COUNTIF(Q33,"A")+COUNTIF(S33,"A")+COUNTIF(U33,"A")</f>
        <v/>
      </c>
      <c r="Y33" s="19" t="n"/>
      <c r="Z33" s="19">
        <f>IF(Y33="","",Y33-V33)</f>
        <v/>
      </c>
      <c r="AA33" s="21">
        <f>IF(OR(Y33="",Y33=0),"",V33/Y33)</f>
        <v/>
      </c>
      <c r="AB33" s="22">
        <f>IF(OR(Y33="",Y33=0),"",IF((10-W33-X33)&lt;=0,"N/A",Z33/(10-W33-X33)))</f>
        <v/>
      </c>
      <c r="AC33" s="19">
        <f>IF(W33=0,"",ROUND((V33/W33)*10,0))</f>
        <v/>
      </c>
    </row>
    <row r="34">
      <c r="A34" s="18" t="inlineStr">
        <is>
          <t>Cain Gutierrez</t>
        </is>
      </c>
      <c r="B34" s="19" t="n"/>
      <c r="C34" s="6" t="n"/>
      <c r="D34" s="19" t="n"/>
      <c r="E34" s="6" t="n"/>
      <c r="F34" s="19" t="n"/>
      <c r="G34" s="6" t="n"/>
      <c r="H34" s="19" t="n"/>
      <c r="I34" s="6" t="n"/>
      <c r="J34" s="19" t="n"/>
      <c r="K34" s="6" t="n"/>
      <c r="L34" s="19" t="n"/>
      <c r="M34" s="6" t="n"/>
      <c r="N34" s="19" t="n"/>
      <c r="O34" s="6" t="n"/>
      <c r="P34" s="19" t="n"/>
      <c r="Q34" s="6" t="n"/>
      <c r="R34" s="19" t="n"/>
      <c r="S34" s="6" t="n"/>
      <c r="T34" s="19" t="n"/>
      <c r="U34" s="6" t="n"/>
      <c r="V34" s="20">
        <f>SUM(B34,D34,F34,H34,J34,L34,N34,P34,R34,T34)</f>
        <v/>
      </c>
      <c r="W34" s="19">
        <f>COUNTIF(C34,"P")+COUNTIF(E34,"P")+COUNTIF(G34,"P")+COUNTIF(I34,"P")+COUNTIF(K34,"P")+COUNTIF(M34,"P")+COUNTIF(O34,"P")+COUNTIF(Q34,"P")+COUNTIF(S34,"P")+COUNTIF(U34,"P")</f>
        <v/>
      </c>
      <c r="X34" s="19">
        <f>COUNTIF(C34,"A")+COUNTIF(E34,"A")+COUNTIF(G34,"A")+COUNTIF(I34,"A")+COUNTIF(K34,"A")+COUNTIF(M34,"A")+COUNTIF(O34,"A")+COUNTIF(Q34,"A")+COUNTIF(S34,"A")+COUNTIF(U34,"A")</f>
        <v/>
      </c>
      <c r="Y34" s="19" t="n"/>
      <c r="Z34" s="19">
        <f>IF(Y34="","",Y34-V34)</f>
        <v/>
      </c>
      <c r="AA34" s="21">
        <f>IF(OR(Y34="",Y34=0),"",V34/Y34)</f>
        <v/>
      </c>
      <c r="AB34" s="22">
        <f>IF(OR(Y34="",Y34=0),"",IF((10-W34-X34)&lt;=0,"N/A",Z34/(10-W34-X34)))</f>
        <v/>
      </c>
      <c r="AC34" s="19">
        <f>IF(W34=0,"",ROUND((V34/W34)*10,0))</f>
        <v/>
      </c>
    </row>
    <row r="35">
      <c r="A35" s="18" t="inlineStr">
        <is>
          <t>Grayson Barnhart</t>
        </is>
      </c>
      <c r="B35" s="19" t="n"/>
      <c r="C35" s="6" t="n"/>
      <c r="D35" s="19" t="n"/>
      <c r="E35" s="6" t="n"/>
      <c r="F35" s="19" t="n"/>
      <c r="G35" s="6" t="n"/>
      <c r="H35" s="19" t="n"/>
      <c r="I35" s="6" t="n"/>
      <c r="J35" s="19" t="n"/>
      <c r="K35" s="6" t="n"/>
      <c r="L35" s="19" t="n"/>
      <c r="M35" s="6" t="n"/>
      <c r="N35" s="19" t="n"/>
      <c r="O35" s="6" t="n"/>
      <c r="P35" s="19" t="n"/>
      <c r="Q35" s="6" t="n"/>
      <c r="R35" s="19" t="n"/>
      <c r="S35" s="6" t="n"/>
      <c r="T35" s="19" t="n"/>
      <c r="U35" s="6" t="n"/>
      <c r="V35" s="20">
        <f>SUM(B35,D35,F35,H35,J35,L35,N35,P35,R35,T35)</f>
        <v/>
      </c>
      <c r="W35" s="19">
        <f>COUNTIF(C35,"P")+COUNTIF(E35,"P")+COUNTIF(G35,"P")+COUNTIF(I35,"P")+COUNTIF(K35,"P")+COUNTIF(M35,"P")+COUNTIF(O35,"P")+COUNTIF(Q35,"P")+COUNTIF(S35,"P")+COUNTIF(U35,"P")</f>
        <v/>
      </c>
      <c r="X35" s="19">
        <f>COUNTIF(C35,"A")+COUNTIF(E35,"A")+COUNTIF(G35,"A")+COUNTIF(I35,"A")+COUNTIF(K35,"A")+COUNTIF(M35,"A")+COUNTIF(O35,"A")+COUNTIF(Q35,"A")+COUNTIF(S35,"A")+COUNTIF(U35,"A")</f>
        <v/>
      </c>
      <c r="Y35" s="19" t="n"/>
      <c r="Z35" s="19">
        <f>IF(Y35="","",Y35-V35)</f>
        <v/>
      </c>
      <c r="AA35" s="21">
        <f>IF(OR(Y35="",Y35=0),"",V35/Y35)</f>
        <v/>
      </c>
      <c r="AB35" s="22">
        <f>IF(OR(Y35="",Y35=0),"",IF((10-W35-X35)&lt;=0,"N/A",Z35/(10-W35-X35)))</f>
        <v/>
      </c>
      <c r="AC35" s="19">
        <f>IF(W35=0,"",ROUND((V35/W35)*10,0))</f>
        <v/>
      </c>
    </row>
    <row r="36">
      <c r="A36" s="18" t="inlineStr">
        <is>
          <t>Abel Abraham</t>
        </is>
      </c>
      <c r="B36" s="19" t="n"/>
      <c r="C36" s="6" t="n"/>
      <c r="D36" s="19" t="n"/>
      <c r="E36" s="6" t="n"/>
      <c r="F36" s="19" t="n"/>
      <c r="G36" s="6" t="n"/>
      <c r="H36" s="19" t="n"/>
      <c r="I36" s="6" t="n"/>
      <c r="J36" s="19" t="n"/>
      <c r="K36" s="6" t="n"/>
      <c r="L36" s="19" t="n"/>
      <c r="M36" s="6" t="n"/>
      <c r="N36" s="19" t="n"/>
      <c r="O36" s="6" t="n"/>
      <c r="P36" s="19" t="n"/>
      <c r="Q36" s="6" t="n"/>
      <c r="R36" s="19" t="n"/>
      <c r="S36" s="6" t="n"/>
      <c r="T36" s="19" t="n"/>
      <c r="U36" s="6" t="n"/>
      <c r="V36" s="20">
        <f>SUM(B36,D36,F36,H36,J36,L36,N36,P36,R36,T36)</f>
        <v/>
      </c>
      <c r="W36" s="19">
        <f>COUNTIF(C36,"P")+COUNTIF(E36,"P")+COUNTIF(G36,"P")+COUNTIF(I36,"P")+COUNTIF(K36,"P")+COUNTIF(M36,"P")+COUNTIF(O36,"P")+COUNTIF(Q36,"P")+COUNTIF(S36,"P")+COUNTIF(U36,"P")</f>
        <v/>
      </c>
      <c r="X36" s="19">
        <f>COUNTIF(C36,"A")+COUNTIF(E36,"A")+COUNTIF(G36,"A")+COUNTIF(I36,"A")+COUNTIF(K36,"A")+COUNTIF(M36,"A")+COUNTIF(O36,"A")+COUNTIF(Q36,"A")+COUNTIF(S36,"A")+COUNTIF(U36,"A")</f>
        <v/>
      </c>
      <c r="Y36" s="19" t="n"/>
      <c r="Z36" s="19">
        <f>IF(Y36="","",Y36-V36)</f>
        <v/>
      </c>
      <c r="AA36" s="21">
        <f>IF(OR(Y36="",Y36=0),"",V36/Y36)</f>
        <v/>
      </c>
      <c r="AB36" s="22">
        <f>IF(OR(Y36="",Y36=0),"",IF((10-W36-X36)&lt;=0,"N/A",Z36/(10-W36-X36)))</f>
        <v/>
      </c>
      <c r="AC36" s="19">
        <f>IF(W36=0,"",ROUND((V36/W36)*10,0))</f>
        <v/>
      </c>
    </row>
    <row r="37">
      <c r="A37" s="18" t="inlineStr">
        <is>
          <t>John Joby</t>
        </is>
      </c>
      <c r="B37" s="19" t="n"/>
      <c r="C37" s="6" t="n"/>
      <c r="D37" s="19" t="n"/>
      <c r="E37" s="6" t="n"/>
      <c r="F37" s="19" t="n"/>
      <c r="G37" s="6" t="n"/>
      <c r="H37" s="19" t="n"/>
      <c r="I37" s="6" t="n"/>
      <c r="J37" s="19" t="n"/>
      <c r="K37" s="6" t="n"/>
      <c r="L37" s="19" t="n"/>
      <c r="M37" s="6" t="n"/>
      <c r="N37" s="19" t="n"/>
      <c r="O37" s="6" t="n"/>
      <c r="P37" s="19" t="n"/>
      <c r="Q37" s="6" t="n"/>
      <c r="R37" s="19" t="n"/>
      <c r="S37" s="6" t="n"/>
      <c r="T37" s="19" t="n"/>
      <c r="U37" s="6" t="n"/>
      <c r="V37" s="20">
        <f>SUM(B37,D37,F37,H37,J37,L37,N37,P37,R37,T37)</f>
        <v/>
      </c>
      <c r="W37" s="19">
        <f>COUNTIF(C37,"P")+COUNTIF(E37,"P")+COUNTIF(G37,"P")+COUNTIF(I37,"P")+COUNTIF(K37,"P")+COUNTIF(M37,"P")+COUNTIF(O37,"P")+COUNTIF(Q37,"P")+COUNTIF(S37,"P")+COUNTIF(U37,"P")</f>
        <v/>
      </c>
      <c r="X37" s="19">
        <f>COUNTIF(C37,"A")+COUNTIF(E37,"A")+COUNTIF(G37,"A")+COUNTIF(I37,"A")+COUNTIF(K37,"A")+COUNTIF(M37,"A")+COUNTIF(O37,"A")+COUNTIF(Q37,"A")+COUNTIF(S37,"A")+COUNTIF(U37,"A")</f>
        <v/>
      </c>
      <c r="Y37" s="19" t="n"/>
      <c r="Z37" s="19">
        <f>IF(Y37="","",Y37-V37)</f>
        <v/>
      </c>
      <c r="AA37" s="21">
        <f>IF(OR(Y37="",Y37=0),"",V37/Y37)</f>
        <v/>
      </c>
      <c r="AB37" s="22">
        <f>IF(OR(Y37="",Y37=0),"",IF((10-W37-X37)&lt;=0,"N/A",Z37/(10-W37-X37)))</f>
        <v/>
      </c>
      <c r="AC37" s="19">
        <f>IF(W37=0,"",ROUND((V37/W37)*10,0))</f>
        <v/>
      </c>
    </row>
    <row r="38">
      <c r="A38" s="18" t="inlineStr">
        <is>
          <t>Jason Bean</t>
        </is>
      </c>
      <c r="B38" s="19" t="n"/>
      <c r="C38" s="6" t="n"/>
      <c r="D38" s="19" t="n"/>
      <c r="E38" s="6" t="n"/>
      <c r="F38" s="19" t="n"/>
      <c r="G38" s="6" t="n"/>
      <c r="H38" s="19" t="n"/>
      <c r="I38" s="6" t="n"/>
      <c r="J38" s="19" t="n"/>
      <c r="K38" s="6" t="n"/>
      <c r="L38" s="19" t="n"/>
      <c r="M38" s="6" t="n"/>
      <c r="N38" s="19" t="n"/>
      <c r="O38" s="6" t="n"/>
      <c r="P38" s="19" t="n"/>
      <c r="Q38" s="6" t="n"/>
      <c r="R38" s="19" t="n"/>
      <c r="S38" s="6" t="n"/>
      <c r="T38" s="19" t="n"/>
      <c r="U38" s="6" t="n"/>
      <c r="V38" s="20">
        <f>SUM(B38,D38,F38,H38,J38,L38,N38,P38,R38,T38)</f>
        <v/>
      </c>
      <c r="W38" s="19">
        <f>COUNTIF(C38,"P")+COUNTIF(E38,"P")+COUNTIF(G38,"P")+COUNTIF(I38,"P")+COUNTIF(K38,"P")+COUNTIF(M38,"P")+COUNTIF(O38,"P")+COUNTIF(Q38,"P")+COUNTIF(S38,"P")+COUNTIF(U38,"P")</f>
        <v/>
      </c>
      <c r="X38" s="19">
        <f>COUNTIF(C38,"A")+COUNTIF(E38,"A")+COUNTIF(G38,"A")+COUNTIF(I38,"A")+COUNTIF(K38,"A")+COUNTIF(M38,"A")+COUNTIF(O38,"A")+COUNTIF(Q38,"A")+COUNTIF(S38,"A")+COUNTIF(U38,"A")</f>
        <v/>
      </c>
      <c r="Y38" s="19" t="n"/>
      <c r="Z38" s="19">
        <f>IF(Y38="","",Y38-V38)</f>
        <v/>
      </c>
      <c r="AA38" s="21">
        <f>IF(OR(Y38="",Y38=0),"",V38/Y38)</f>
        <v/>
      </c>
      <c r="AB38" s="22">
        <f>IF(OR(Y38="",Y38=0),"",IF((10-W38-X38)&lt;=0,"N/A",Z38/(10-W38-X38)))</f>
        <v/>
      </c>
      <c r="AC38" s="19">
        <f>IF(W38=0,"",ROUND((V38/W38)*10,0))</f>
        <v/>
      </c>
    </row>
    <row r="41">
      <c r="A41" s="16" t="inlineStr">
        <is>
          <t>Q3 — Quarter 3</t>
        </is>
      </c>
    </row>
    <row r="42">
      <c r="A42" s="17" t="inlineStr">
        <is>
          <t>Student Name</t>
        </is>
      </c>
      <c r="B42" s="17" t="inlineStr">
        <is>
          <t>Sess 1</t>
        </is>
      </c>
      <c r="C42" s="17" t="inlineStr">
        <is>
          <t>Att 1</t>
        </is>
      </c>
      <c r="D42" s="17" t="inlineStr">
        <is>
          <t>Sess 2</t>
        </is>
      </c>
      <c r="E42" s="17" t="inlineStr">
        <is>
          <t>Att 2</t>
        </is>
      </c>
      <c r="F42" s="17" t="inlineStr">
        <is>
          <t>Sess 3</t>
        </is>
      </c>
      <c r="G42" s="17" t="inlineStr">
        <is>
          <t>Att 3</t>
        </is>
      </c>
      <c r="H42" s="17" t="inlineStr">
        <is>
          <t>Sess 4</t>
        </is>
      </c>
      <c r="I42" s="17" t="inlineStr">
        <is>
          <t>Att 4</t>
        </is>
      </c>
      <c r="J42" s="17" t="inlineStr">
        <is>
          <t>Sess 5</t>
        </is>
      </c>
      <c r="K42" s="17" t="inlineStr">
        <is>
          <t>Att 5</t>
        </is>
      </c>
      <c r="L42" s="17" t="inlineStr">
        <is>
          <t>Sess 6</t>
        </is>
      </c>
      <c r="M42" s="17" t="inlineStr">
        <is>
          <t>Att 6</t>
        </is>
      </c>
      <c r="N42" s="17" t="inlineStr">
        <is>
          <t>Sess 7</t>
        </is>
      </c>
      <c r="O42" s="17" t="inlineStr">
        <is>
          <t>Att 7</t>
        </is>
      </c>
      <c r="P42" s="17" t="inlineStr">
        <is>
          <t>Sess 8</t>
        </is>
      </c>
      <c r="Q42" s="17" t="inlineStr">
        <is>
          <t>Att 8</t>
        </is>
      </c>
      <c r="R42" s="17" t="inlineStr">
        <is>
          <t>Sess 9</t>
        </is>
      </c>
      <c r="S42" s="17" t="inlineStr">
        <is>
          <t>Att 9</t>
        </is>
      </c>
      <c r="T42" s="17" t="inlineStr">
        <is>
          <t>Sess 10</t>
        </is>
      </c>
      <c r="U42" s="17" t="inlineStr">
        <is>
          <t>Att 10</t>
        </is>
      </c>
      <c r="V42" s="17" t="inlineStr">
        <is>
          <t>Min Met</t>
        </is>
      </c>
      <c r="W42" s="17" t="inlineStr">
        <is>
          <t>Sess Att</t>
        </is>
      </c>
      <c r="X42" s="17" t="inlineStr">
        <is>
          <t>Absences</t>
        </is>
      </c>
      <c r="Y42" s="17" t="inlineStr">
        <is>
          <t>IEP Req</t>
        </is>
      </c>
      <c r="Z42" s="17" t="inlineStr">
        <is>
          <t>Min Remain</t>
        </is>
      </c>
      <c r="AA42" s="17" t="inlineStr">
        <is>
          <t>% Complete</t>
        </is>
      </c>
      <c r="AB42" s="17" t="inlineStr">
        <is>
          <t>Pace Needed</t>
        </is>
      </c>
      <c r="AC42" s="17" t="inlineStr">
        <is>
          <t>Projected</t>
        </is>
      </c>
    </row>
    <row r="43">
      <c r="A43" s="18" t="inlineStr">
        <is>
          <t>Raya Hightower</t>
        </is>
      </c>
      <c r="B43" s="19" t="n"/>
      <c r="C43" s="6" t="n"/>
      <c r="D43" s="19" t="n"/>
      <c r="E43" s="6" t="n"/>
      <c r="F43" s="19" t="n"/>
      <c r="G43" s="6" t="n"/>
      <c r="H43" s="19" t="n"/>
      <c r="I43" s="6" t="n"/>
      <c r="J43" s="19" t="n"/>
      <c r="K43" s="6" t="n"/>
      <c r="L43" s="19" t="n"/>
      <c r="M43" s="6" t="n"/>
      <c r="N43" s="19" t="n"/>
      <c r="O43" s="6" t="n"/>
      <c r="P43" s="19" t="n"/>
      <c r="Q43" s="6" t="n"/>
      <c r="R43" s="19" t="n"/>
      <c r="S43" s="6" t="n"/>
      <c r="T43" s="19" t="n"/>
      <c r="U43" s="6" t="n"/>
      <c r="V43" s="20">
        <f>SUM(B43,D43,F43,H43,J43,L43,N43,P43,R43,T43)</f>
        <v/>
      </c>
      <c r="W43" s="19">
        <f>COUNTIF(C43,"P")+COUNTIF(E43,"P")+COUNTIF(G43,"P")+COUNTIF(I43,"P")+COUNTIF(K43,"P")+COUNTIF(M43,"P")+COUNTIF(O43,"P")+COUNTIF(Q43,"P")+COUNTIF(S43,"P")+COUNTIF(U43,"P")</f>
        <v/>
      </c>
      <c r="X43" s="19">
        <f>COUNTIF(C43,"A")+COUNTIF(E43,"A")+COUNTIF(G43,"A")+COUNTIF(I43,"A")+COUNTIF(K43,"A")+COUNTIF(M43,"A")+COUNTIF(O43,"A")+COUNTIF(Q43,"A")+COUNTIF(S43,"A")+COUNTIF(U43,"A")</f>
        <v/>
      </c>
      <c r="Y43" s="19" t="n"/>
      <c r="Z43" s="19">
        <f>IF(Y43="","",Y43-V43)</f>
        <v/>
      </c>
      <c r="AA43" s="21">
        <f>IF(OR(Y43="",Y43=0),"",V43/Y43)</f>
        <v/>
      </c>
      <c r="AB43" s="22">
        <f>IF(OR(Y43="",Y43=0),"",IF((10-W43-X43)&lt;=0,"N/A",Z43/(10-W43-X43)))</f>
        <v/>
      </c>
      <c r="AC43" s="19">
        <f>IF(W43=0,"",ROUND((V43/W43)*10,0))</f>
        <v/>
      </c>
    </row>
    <row r="44">
      <c r="A44" s="18" t="inlineStr">
        <is>
          <t>Anu Vijay Anand</t>
        </is>
      </c>
      <c r="B44" s="19" t="n"/>
      <c r="C44" s="6" t="n"/>
      <c r="D44" s="19" t="n"/>
      <c r="E44" s="6" t="n"/>
      <c r="F44" s="19" t="n"/>
      <c r="G44" s="6" t="n"/>
      <c r="H44" s="19" t="n"/>
      <c r="I44" s="6" t="n"/>
      <c r="J44" s="19" t="n"/>
      <c r="K44" s="6" t="n"/>
      <c r="L44" s="19" t="n"/>
      <c r="M44" s="6" t="n"/>
      <c r="N44" s="19" t="n"/>
      <c r="O44" s="6" t="n"/>
      <c r="P44" s="19" t="n"/>
      <c r="Q44" s="6" t="n"/>
      <c r="R44" s="19" t="n"/>
      <c r="S44" s="6" t="n"/>
      <c r="T44" s="19" t="n"/>
      <c r="U44" s="6" t="n"/>
      <c r="V44" s="20">
        <f>SUM(B44,D44,F44,H44,J44,L44,N44,P44,R44,T44)</f>
        <v/>
      </c>
      <c r="W44" s="19">
        <f>COUNTIF(C44,"P")+COUNTIF(E44,"P")+COUNTIF(G44,"P")+COUNTIF(I44,"P")+COUNTIF(K44,"P")+COUNTIF(M44,"P")+COUNTIF(O44,"P")+COUNTIF(Q44,"P")+COUNTIF(S44,"P")+COUNTIF(U44,"P")</f>
        <v/>
      </c>
      <c r="X44" s="19">
        <f>COUNTIF(C44,"A")+COUNTIF(E44,"A")+COUNTIF(G44,"A")+COUNTIF(I44,"A")+COUNTIF(K44,"A")+COUNTIF(M44,"A")+COUNTIF(O44,"A")+COUNTIF(Q44,"A")+COUNTIF(S44,"A")+COUNTIF(U44,"A")</f>
        <v/>
      </c>
      <c r="Y44" s="19" t="n"/>
      <c r="Z44" s="19">
        <f>IF(Y44="","",Y44-V44)</f>
        <v/>
      </c>
      <c r="AA44" s="21">
        <f>IF(OR(Y44="",Y44=0),"",V44/Y44)</f>
        <v/>
      </c>
      <c r="AB44" s="22">
        <f>IF(OR(Y44="",Y44=0),"",IF((10-W44-X44)&lt;=0,"N/A",Z44/(10-W44-X44)))</f>
        <v/>
      </c>
      <c r="AC44" s="19">
        <f>IF(W44=0,"",ROUND((V44/W44)*10,0))</f>
        <v/>
      </c>
    </row>
    <row r="45">
      <c r="A45" s="18" t="inlineStr">
        <is>
          <t>Aadhya Gone</t>
        </is>
      </c>
      <c r="B45" s="19" t="n"/>
      <c r="C45" s="6" t="n"/>
      <c r="D45" s="19" t="n"/>
      <c r="E45" s="6" t="n"/>
      <c r="F45" s="19" t="n"/>
      <c r="G45" s="6" t="n"/>
      <c r="H45" s="19" t="n"/>
      <c r="I45" s="6" t="n"/>
      <c r="J45" s="19" t="n"/>
      <c r="K45" s="6" t="n"/>
      <c r="L45" s="19" t="n"/>
      <c r="M45" s="6" t="n"/>
      <c r="N45" s="19" t="n"/>
      <c r="O45" s="6" t="n"/>
      <c r="P45" s="19" t="n"/>
      <c r="Q45" s="6" t="n"/>
      <c r="R45" s="19" t="n"/>
      <c r="S45" s="6" t="n"/>
      <c r="T45" s="19" t="n"/>
      <c r="U45" s="6" t="n"/>
      <c r="V45" s="20">
        <f>SUM(B45,D45,F45,H45,J45,L45,N45,P45,R45,T45)</f>
        <v/>
      </c>
      <c r="W45" s="19">
        <f>COUNTIF(C45,"P")+COUNTIF(E45,"P")+COUNTIF(G45,"P")+COUNTIF(I45,"P")+COUNTIF(K45,"P")+COUNTIF(M45,"P")+COUNTIF(O45,"P")+COUNTIF(Q45,"P")+COUNTIF(S45,"P")+COUNTIF(U45,"P")</f>
        <v/>
      </c>
      <c r="X45" s="19">
        <f>COUNTIF(C45,"A")+COUNTIF(E45,"A")+COUNTIF(G45,"A")+COUNTIF(I45,"A")+COUNTIF(K45,"A")+COUNTIF(M45,"A")+COUNTIF(O45,"A")+COUNTIF(Q45,"A")+COUNTIF(S45,"A")+COUNTIF(U45,"A")</f>
        <v/>
      </c>
      <c r="Y45" s="19" t="n"/>
      <c r="Z45" s="19">
        <f>IF(Y45="","",Y45-V45)</f>
        <v/>
      </c>
      <c r="AA45" s="21">
        <f>IF(OR(Y45="",Y45=0),"",V45/Y45)</f>
        <v/>
      </c>
      <c r="AB45" s="22">
        <f>IF(OR(Y45="",Y45=0),"",IF((10-W45-X45)&lt;=0,"N/A",Z45/(10-W45-X45)))</f>
        <v/>
      </c>
      <c r="AC45" s="19">
        <f>IF(W45=0,"",ROUND((V45/W45)*10,0))</f>
        <v/>
      </c>
    </row>
    <row r="46">
      <c r="A46" s="18" t="inlineStr">
        <is>
          <t>Sumeyah Khan</t>
        </is>
      </c>
      <c r="B46" s="19" t="n"/>
      <c r="C46" s="6" t="n"/>
      <c r="D46" s="19" t="n"/>
      <c r="E46" s="6" t="n"/>
      <c r="F46" s="19" t="n"/>
      <c r="G46" s="6" t="n"/>
      <c r="H46" s="19" t="n"/>
      <c r="I46" s="6" t="n"/>
      <c r="J46" s="19" t="n"/>
      <c r="K46" s="6" t="n"/>
      <c r="L46" s="19" t="n"/>
      <c r="M46" s="6" t="n"/>
      <c r="N46" s="19" t="n"/>
      <c r="O46" s="6" t="n"/>
      <c r="P46" s="19" t="n"/>
      <c r="Q46" s="6" t="n"/>
      <c r="R46" s="19" t="n"/>
      <c r="S46" s="6" t="n"/>
      <c r="T46" s="19" t="n"/>
      <c r="U46" s="6" t="n"/>
      <c r="V46" s="20">
        <f>SUM(B46,D46,F46,H46,J46,L46,N46,P46,R46,T46)</f>
        <v/>
      </c>
      <c r="W46" s="19">
        <f>COUNTIF(C46,"P")+COUNTIF(E46,"P")+COUNTIF(G46,"P")+COUNTIF(I46,"P")+COUNTIF(K46,"P")+COUNTIF(M46,"P")+COUNTIF(O46,"P")+COUNTIF(Q46,"P")+COUNTIF(S46,"P")+COUNTIF(U46,"P")</f>
        <v/>
      </c>
      <c r="X46" s="19">
        <f>COUNTIF(C46,"A")+COUNTIF(E46,"A")+COUNTIF(G46,"A")+COUNTIF(I46,"A")+COUNTIF(K46,"A")+COUNTIF(M46,"A")+COUNTIF(O46,"A")+COUNTIF(Q46,"A")+COUNTIF(S46,"A")+COUNTIF(U46,"A")</f>
        <v/>
      </c>
      <c r="Y46" s="19" t="n"/>
      <c r="Z46" s="19">
        <f>IF(Y46="","",Y46-V46)</f>
        <v/>
      </c>
      <c r="AA46" s="21">
        <f>IF(OR(Y46="",Y46=0),"",V46/Y46)</f>
        <v/>
      </c>
      <c r="AB46" s="22">
        <f>IF(OR(Y46="",Y46=0),"",IF((10-W46-X46)&lt;=0,"N/A",Z46/(10-W46-X46)))</f>
        <v/>
      </c>
      <c r="AC46" s="19">
        <f>IF(W46=0,"",ROUND((V46/W46)*10,0))</f>
        <v/>
      </c>
    </row>
    <row r="47">
      <c r="A47" s="18" t="inlineStr">
        <is>
          <t>Maria Mujeeb</t>
        </is>
      </c>
      <c r="B47" s="19" t="n"/>
      <c r="C47" s="6" t="n"/>
      <c r="D47" s="19" t="n"/>
      <c r="E47" s="6" t="n"/>
      <c r="F47" s="19" t="n"/>
      <c r="G47" s="6" t="n"/>
      <c r="H47" s="19" t="n"/>
      <c r="I47" s="6" t="n"/>
      <c r="J47" s="19" t="n"/>
      <c r="K47" s="6" t="n"/>
      <c r="L47" s="19" t="n"/>
      <c r="M47" s="6" t="n"/>
      <c r="N47" s="19" t="n"/>
      <c r="O47" s="6" t="n"/>
      <c r="P47" s="19" t="n"/>
      <c r="Q47" s="6" t="n"/>
      <c r="R47" s="19" t="n"/>
      <c r="S47" s="6" t="n"/>
      <c r="T47" s="19" t="n"/>
      <c r="U47" s="6" t="n"/>
      <c r="V47" s="20">
        <f>SUM(B47,D47,F47,H47,J47,L47,N47,P47,R47,T47)</f>
        <v/>
      </c>
      <c r="W47" s="19">
        <f>COUNTIF(C47,"P")+COUNTIF(E47,"P")+COUNTIF(G47,"P")+COUNTIF(I47,"P")+COUNTIF(K47,"P")+COUNTIF(M47,"P")+COUNTIF(O47,"P")+COUNTIF(Q47,"P")+COUNTIF(S47,"P")+COUNTIF(U47,"P")</f>
        <v/>
      </c>
      <c r="X47" s="19">
        <f>COUNTIF(C47,"A")+COUNTIF(E47,"A")+COUNTIF(G47,"A")+COUNTIF(I47,"A")+COUNTIF(K47,"A")+COUNTIF(M47,"A")+COUNTIF(O47,"A")+COUNTIF(Q47,"A")+COUNTIF(S47,"A")+COUNTIF(U47,"A")</f>
        <v/>
      </c>
      <c r="Y47" s="19" t="n"/>
      <c r="Z47" s="19">
        <f>IF(Y47="","",Y47-V47)</f>
        <v/>
      </c>
      <c r="AA47" s="21">
        <f>IF(OR(Y47="",Y47=0),"",V47/Y47)</f>
        <v/>
      </c>
      <c r="AB47" s="22">
        <f>IF(OR(Y47="",Y47=0),"",IF((10-W47-X47)&lt;=0,"N/A",Z47/(10-W47-X47)))</f>
        <v/>
      </c>
      <c r="AC47" s="19">
        <f>IF(W47=0,"",ROUND((V47/W47)*10,0))</f>
        <v/>
      </c>
    </row>
    <row r="48">
      <c r="A48" s="18" t="inlineStr">
        <is>
          <t>Jace Ratliff</t>
        </is>
      </c>
      <c r="B48" s="19" t="n"/>
      <c r="C48" s="6" t="n"/>
      <c r="D48" s="19" t="n"/>
      <c r="E48" s="6" t="n"/>
      <c r="F48" s="19" t="n"/>
      <c r="G48" s="6" t="n"/>
      <c r="H48" s="19" t="n"/>
      <c r="I48" s="6" t="n"/>
      <c r="J48" s="19" t="n"/>
      <c r="K48" s="6" t="n"/>
      <c r="L48" s="19" t="n"/>
      <c r="M48" s="6" t="n"/>
      <c r="N48" s="19" t="n"/>
      <c r="O48" s="6" t="n"/>
      <c r="P48" s="19" t="n"/>
      <c r="Q48" s="6" t="n"/>
      <c r="R48" s="19" t="n"/>
      <c r="S48" s="6" t="n"/>
      <c r="T48" s="19" t="n"/>
      <c r="U48" s="6" t="n"/>
      <c r="V48" s="20">
        <f>SUM(B48,D48,F48,H48,J48,L48,N48,P48,R48,T48)</f>
        <v/>
      </c>
      <c r="W48" s="19">
        <f>COUNTIF(C48,"P")+COUNTIF(E48,"P")+COUNTIF(G48,"P")+COUNTIF(I48,"P")+COUNTIF(K48,"P")+COUNTIF(M48,"P")+COUNTIF(O48,"P")+COUNTIF(Q48,"P")+COUNTIF(S48,"P")+COUNTIF(U48,"P")</f>
        <v/>
      </c>
      <c r="X48" s="19">
        <f>COUNTIF(C48,"A")+COUNTIF(E48,"A")+COUNTIF(G48,"A")+COUNTIF(I48,"A")+COUNTIF(K48,"A")+COUNTIF(M48,"A")+COUNTIF(O48,"A")+COUNTIF(Q48,"A")+COUNTIF(S48,"A")+COUNTIF(U48,"A")</f>
        <v/>
      </c>
      <c r="Y48" s="19" t="n"/>
      <c r="Z48" s="19">
        <f>IF(Y48="","",Y48-V48)</f>
        <v/>
      </c>
      <c r="AA48" s="21">
        <f>IF(OR(Y48="",Y48=0),"",V48/Y48)</f>
        <v/>
      </c>
      <c r="AB48" s="22">
        <f>IF(OR(Y48="",Y48=0),"",IF((10-W48-X48)&lt;=0,"N/A",Z48/(10-W48-X48)))</f>
        <v/>
      </c>
      <c r="AC48" s="19">
        <f>IF(W48=0,"",ROUND((V48/W48)*10,0))</f>
        <v/>
      </c>
    </row>
    <row r="49">
      <c r="A49" s="18" t="inlineStr">
        <is>
          <t>Evan Allen</t>
        </is>
      </c>
      <c r="B49" s="19" t="n"/>
      <c r="C49" s="6" t="n"/>
      <c r="D49" s="19" t="n"/>
      <c r="E49" s="6" t="n"/>
      <c r="F49" s="19" t="n"/>
      <c r="G49" s="6" t="n"/>
      <c r="H49" s="19" t="n"/>
      <c r="I49" s="6" t="n"/>
      <c r="J49" s="19" t="n"/>
      <c r="K49" s="6" t="n"/>
      <c r="L49" s="19" t="n"/>
      <c r="M49" s="6" t="n"/>
      <c r="N49" s="19" t="n"/>
      <c r="O49" s="6" t="n"/>
      <c r="P49" s="19" t="n"/>
      <c r="Q49" s="6" t="n"/>
      <c r="R49" s="19" t="n"/>
      <c r="S49" s="6" t="n"/>
      <c r="T49" s="19" t="n"/>
      <c r="U49" s="6" t="n"/>
      <c r="V49" s="20">
        <f>SUM(B49,D49,F49,H49,J49,L49,N49,P49,R49,T49)</f>
        <v/>
      </c>
      <c r="W49" s="19">
        <f>COUNTIF(C49,"P")+COUNTIF(E49,"P")+COUNTIF(G49,"P")+COUNTIF(I49,"P")+COUNTIF(K49,"P")+COUNTIF(M49,"P")+COUNTIF(O49,"P")+COUNTIF(Q49,"P")+COUNTIF(S49,"P")+COUNTIF(U49,"P")</f>
        <v/>
      </c>
      <c r="X49" s="19">
        <f>COUNTIF(C49,"A")+COUNTIF(E49,"A")+COUNTIF(G49,"A")+COUNTIF(I49,"A")+COUNTIF(K49,"A")+COUNTIF(M49,"A")+COUNTIF(O49,"A")+COUNTIF(Q49,"A")+COUNTIF(S49,"A")+COUNTIF(U49,"A")</f>
        <v/>
      </c>
      <c r="Y49" s="19" t="n"/>
      <c r="Z49" s="19">
        <f>IF(Y49="","",Y49-V49)</f>
        <v/>
      </c>
      <c r="AA49" s="21">
        <f>IF(OR(Y49="",Y49=0),"",V49/Y49)</f>
        <v/>
      </c>
      <c r="AB49" s="22">
        <f>IF(OR(Y49="",Y49=0),"",IF((10-W49-X49)&lt;=0,"N/A",Z49/(10-W49-X49)))</f>
        <v/>
      </c>
      <c r="AC49" s="19">
        <f>IF(W49=0,"",ROUND((V49/W49)*10,0))</f>
        <v/>
      </c>
    </row>
    <row r="50">
      <c r="A50" s="18" t="inlineStr">
        <is>
          <t>Sai Neelagiri</t>
        </is>
      </c>
      <c r="B50" s="19" t="n"/>
      <c r="C50" s="6" t="n"/>
      <c r="D50" s="19" t="n"/>
      <c r="E50" s="6" t="n"/>
      <c r="F50" s="19" t="n"/>
      <c r="G50" s="6" t="n"/>
      <c r="H50" s="19" t="n"/>
      <c r="I50" s="6" t="n"/>
      <c r="J50" s="19" t="n"/>
      <c r="K50" s="6" t="n"/>
      <c r="L50" s="19" t="n"/>
      <c r="M50" s="6" t="n"/>
      <c r="N50" s="19" t="n"/>
      <c r="O50" s="6" t="n"/>
      <c r="P50" s="19" t="n"/>
      <c r="Q50" s="6" t="n"/>
      <c r="R50" s="19" t="n"/>
      <c r="S50" s="6" t="n"/>
      <c r="T50" s="19" t="n"/>
      <c r="U50" s="6" t="n"/>
      <c r="V50" s="20">
        <f>SUM(B50,D50,F50,H50,J50,L50,N50,P50,R50,T50)</f>
        <v/>
      </c>
      <c r="W50" s="19">
        <f>COUNTIF(C50,"P")+COUNTIF(E50,"P")+COUNTIF(G50,"P")+COUNTIF(I50,"P")+COUNTIF(K50,"P")+COUNTIF(M50,"P")+COUNTIF(O50,"P")+COUNTIF(Q50,"P")+COUNTIF(S50,"P")+COUNTIF(U50,"P")</f>
        <v/>
      </c>
      <c r="X50" s="19">
        <f>COUNTIF(C50,"A")+COUNTIF(E50,"A")+COUNTIF(G50,"A")+COUNTIF(I50,"A")+COUNTIF(K50,"A")+COUNTIF(M50,"A")+COUNTIF(O50,"A")+COUNTIF(Q50,"A")+COUNTIF(S50,"A")+COUNTIF(U50,"A")</f>
        <v/>
      </c>
      <c r="Y50" s="19" t="n"/>
      <c r="Z50" s="19">
        <f>IF(Y50="","",Y50-V50)</f>
        <v/>
      </c>
      <c r="AA50" s="21">
        <f>IF(OR(Y50="",Y50=0),"",V50/Y50)</f>
        <v/>
      </c>
      <c r="AB50" s="22">
        <f>IF(OR(Y50="",Y50=0),"",IF((10-W50-X50)&lt;=0,"N/A",Z50/(10-W50-X50)))</f>
        <v/>
      </c>
      <c r="AC50" s="19">
        <f>IF(W50=0,"",ROUND((V50/W50)*10,0))</f>
        <v/>
      </c>
    </row>
    <row r="51">
      <c r="A51" s="18" t="inlineStr">
        <is>
          <t>Fletcher Meese</t>
        </is>
      </c>
      <c r="B51" s="19" t="n"/>
      <c r="C51" s="6" t="n"/>
      <c r="D51" s="19" t="n"/>
      <c r="E51" s="6" t="n"/>
      <c r="F51" s="19" t="n"/>
      <c r="G51" s="6" t="n"/>
      <c r="H51" s="19" t="n"/>
      <c r="I51" s="6" t="n"/>
      <c r="J51" s="19" t="n"/>
      <c r="K51" s="6" t="n"/>
      <c r="L51" s="19" t="n"/>
      <c r="M51" s="6" t="n"/>
      <c r="N51" s="19" t="n"/>
      <c r="O51" s="6" t="n"/>
      <c r="P51" s="19" t="n"/>
      <c r="Q51" s="6" t="n"/>
      <c r="R51" s="19" t="n"/>
      <c r="S51" s="6" t="n"/>
      <c r="T51" s="19" t="n"/>
      <c r="U51" s="6" t="n"/>
      <c r="V51" s="20">
        <f>SUM(B51,D51,F51,H51,J51,L51,N51,P51,R51,T51)</f>
        <v/>
      </c>
      <c r="W51" s="19">
        <f>COUNTIF(C51,"P")+COUNTIF(E51,"P")+COUNTIF(G51,"P")+COUNTIF(I51,"P")+COUNTIF(K51,"P")+COUNTIF(M51,"P")+COUNTIF(O51,"P")+COUNTIF(Q51,"P")+COUNTIF(S51,"P")+COUNTIF(U51,"P")</f>
        <v/>
      </c>
      <c r="X51" s="19">
        <f>COUNTIF(C51,"A")+COUNTIF(E51,"A")+COUNTIF(G51,"A")+COUNTIF(I51,"A")+COUNTIF(K51,"A")+COUNTIF(M51,"A")+COUNTIF(O51,"A")+COUNTIF(Q51,"A")+COUNTIF(S51,"A")+COUNTIF(U51,"A")</f>
        <v/>
      </c>
      <c r="Y51" s="19" t="n"/>
      <c r="Z51" s="19">
        <f>IF(Y51="","",Y51-V51)</f>
        <v/>
      </c>
      <c r="AA51" s="21">
        <f>IF(OR(Y51="",Y51=0),"",V51/Y51)</f>
        <v/>
      </c>
      <c r="AB51" s="22">
        <f>IF(OR(Y51="",Y51=0),"",IF((10-W51-X51)&lt;=0,"N/A",Z51/(10-W51-X51)))</f>
        <v/>
      </c>
      <c r="AC51" s="19">
        <f>IF(W51=0,"",ROUND((V51/W51)*10,0))</f>
        <v/>
      </c>
    </row>
    <row r="52">
      <c r="A52" s="18" t="inlineStr">
        <is>
          <t>Elijah Aldaco</t>
        </is>
      </c>
      <c r="B52" s="19" t="n"/>
      <c r="C52" s="6" t="n"/>
      <c r="D52" s="19" t="n"/>
      <c r="E52" s="6" t="n"/>
      <c r="F52" s="19" t="n"/>
      <c r="G52" s="6" t="n"/>
      <c r="H52" s="19" t="n"/>
      <c r="I52" s="6" t="n"/>
      <c r="J52" s="19" t="n"/>
      <c r="K52" s="6" t="n"/>
      <c r="L52" s="19" t="n"/>
      <c r="M52" s="6" t="n"/>
      <c r="N52" s="19" t="n"/>
      <c r="O52" s="6" t="n"/>
      <c r="P52" s="19" t="n"/>
      <c r="Q52" s="6" t="n"/>
      <c r="R52" s="19" t="n"/>
      <c r="S52" s="6" t="n"/>
      <c r="T52" s="19" t="n"/>
      <c r="U52" s="6" t="n"/>
      <c r="V52" s="20">
        <f>SUM(B52,D52,F52,H52,J52,L52,N52,P52,R52,T52)</f>
        <v/>
      </c>
      <c r="W52" s="19">
        <f>COUNTIF(C52,"P")+COUNTIF(E52,"P")+COUNTIF(G52,"P")+COUNTIF(I52,"P")+COUNTIF(K52,"P")+COUNTIF(M52,"P")+COUNTIF(O52,"P")+COUNTIF(Q52,"P")+COUNTIF(S52,"P")+COUNTIF(U52,"P")</f>
        <v/>
      </c>
      <c r="X52" s="19">
        <f>COUNTIF(C52,"A")+COUNTIF(E52,"A")+COUNTIF(G52,"A")+COUNTIF(I52,"A")+COUNTIF(K52,"A")+COUNTIF(M52,"A")+COUNTIF(O52,"A")+COUNTIF(Q52,"A")+COUNTIF(S52,"A")+COUNTIF(U52,"A")</f>
        <v/>
      </c>
      <c r="Y52" s="19" t="n"/>
      <c r="Z52" s="19">
        <f>IF(Y52="","",Y52-V52)</f>
        <v/>
      </c>
      <c r="AA52" s="21">
        <f>IF(OR(Y52="",Y52=0),"",V52/Y52)</f>
        <v/>
      </c>
      <c r="AB52" s="22">
        <f>IF(OR(Y52="",Y52=0),"",IF((10-W52-X52)&lt;=0,"N/A",Z52/(10-W52-X52)))</f>
        <v/>
      </c>
      <c r="AC52" s="19">
        <f>IF(W52=0,"",ROUND((V52/W52)*10,0))</f>
        <v/>
      </c>
    </row>
    <row r="53">
      <c r="A53" s="18" t="inlineStr">
        <is>
          <t>Cain Gutierrez</t>
        </is>
      </c>
      <c r="B53" s="19" t="n"/>
      <c r="C53" s="6" t="n"/>
      <c r="D53" s="19" t="n"/>
      <c r="E53" s="6" t="n"/>
      <c r="F53" s="19" t="n"/>
      <c r="G53" s="6" t="n"/>
      <c r="H53" s="19" t="n"/>
      <c r="I53" s="6" t="n"/>
      <c r="J53" s="19" t="n"/>
      <c r="K53" s="6" t="n"/>
      <c r="L53" s="19" t="n"/>
      <c r="M53" s="6" t="n"/>
      <c r="N53" s="19" t="n"/>
      <c r="O53" s="6" t="n"/>
      <c r="P53" s="19" t="n"/>
      <c r="Q53" s="6" t="n"/>
      <c r="R53" s="19" t="n"/>
      <c r="S53" s="6" t="n"/>
      <c r="T53" s="19" t="n"/>
      <c r="U53" s="6" t="n"/>
      <c r="V53" s="20">
        <f>SUM(B53,D53,F53,H53,J53,L53,N53,P53,R53,T53)</f>
        <v/>
      </c>
      <c r="W53" s="19">
        <f>COUNTIF(C53,"P")+COUNTIF(E53,"P")+COUNTIF(G53,"P")+COUNTIF(I53,"P")+COUNTIF(K53,"P")+COUNTIF(M53,"P")+COUNTIF(O53,"P")+COUNTIF(Q53,"P")+COUNTIF(S53,"P")+COUNTIF(U53,"P")</f>
        <v/>
      </c>
      <c r="X53" s="19">
        <f>COUNTIF(C53,"A")+COUNTIF(E53,"A")+COUNTIF(G53,"A")+COUNTIF(I53,"A")+COUNTIF(K53,"A")+COUNTIF(M53,"A")+COUNTIF(O53,"A")+COUNTIF(Q53,"A")+COUNTIF(S53,"A")+COUNTIF(U53,"A")</f>
        <v/>
      </c>
      <c r="Y53" s="19" t="n"/>
      <c r="Z53" s="19">
        <f>IF(Y53="","",Y53-V53)</f>
        <v/>
      </c>
      <c r="AA53" s="21">
        <f>IF(OR(Y53="",Y53=0),"",V53/Y53)</f>
        <v/>
      </c>
      <c r="AB53" s="22">
        <f>IF(OR(Y53="",Y53=0),"",IF((10-W53-X53)&lt;=0,"N/A",Z53/(10-W53-X53)))</f>
        <v/>
      </c>
      <c r="AC53" s="19">
        <f>IF(W53=0,"",ROUND((V53/W53)*10,0))</f>
        <v/>
      </c>
    </row>
    <row r="54">
      <c r="A54" s="18" t="inlineStr">
        <is>
          <t>Grayson Barnhart</t>
        </is>
      </c>
      <c r="B54" s="19" t="n"/>
      <c r="C54" s="6" t="n"/>
      <c r="D54" s="19" t="n"/>
      <c r="E54" s="6" t="n"/>
      <c r="F54" s="19" t="n"/>
      <c r="G54" s="6" t="n"/>
      <c r="H54" s="19" t="n"/>
      <c r="I54" s="6" t="n"/>
      <c r="J54" s="19" t="n"/>
      <c r="K54" s="6" t="n"/>
      <c r="L54" s="19" t="n"/>
      <c r="M54" s="6" t="n"/>
      <c r="N54" s="19" t="n"/>
      <c r="O54" s="6" t="n"/>
      <c r="P54" s="19" t="n"/>
      <c r="Q54" s="6" t="n"/>
      <c r="R54" s="19" t="n"/>
      <c r="S54" s="6" t="n"/>
      <c r="T54" s="19" t="n"/>
      <c r="U54" s="6" t="n"/>
      <c r="V54" s="20">
        <f>SUM(B54,D54,F54,H54,J54,L54,N54,P54,R54,T54)</f>
        <v/>
      </c>
      <c r="W54" s="19">
        <f>COUNTIF(C54,"P")+COUNTIF(E54,"P")+COUNTIF(G54,"P")+COUNTIF(I54,"P")+COUNTIF(K54,"P")+COUNTIF(M54,"P")+COUNTIF(O54,"P")+COUNTIF(Q54,"P")+COUNTIF(S54,"P")+COUNTIF(U54,"P")</f>
        <v/>
      </c>
      <c r="X54" s="19">
        <f>COUNTIF(C54,"A")+COUNTIF(E54,"A")+COUNTIF(G54,"A")+COUNTIF(I54,"A")+COUNTIF(K54,"A")+COUNTIF(M54,"A")+COUNTIF(O54,"A")+COUNTIF(Q54,"A")+COUNTIF(S54,"A")+COUNTIF(U54,"A")</f>
        <v/>
      </c>
      <c r="Y54" s="19" t="n"/>
      <c r="Z54" s="19">
        <f>IF(Y54="","",Y54-V54)</f>
        <v/>
      </c>
      <c r="AA54" s="21">
        <f>IF(OR(Y54="",Y54=0),"",V54/Y54)</f>
        <v/>
      </c>
      <c r="AB54" s="22">
        <f>IF(OR(Y54="",Y54=0),"",IF((10-W54-X54)&lt;=0,"N/A",Z54/(10-W54-X54)))</f>
        <v/>
      </c>
      <c r="AC54" s="19">
        <f>IF(W54=0,"",ROUND((V54/W54)*10,0))</f>
        <v/>
      </c>
    </row>
    <row r="55">
      <c r="A55" s="18" t="inlineStr">
        <is>
          <t>Abel Abraham</t>
        </is>
      </c>
      <c r="B55" s="19" t="n"/>
      <c r="C55" s="6" t="n"/>
      <c r="D55" s="19" t="n"/>
      <c r="E55" s="6" t="n"/>
      <c r="F55" s="19" t="n"/>
      <c r="G55" s="6" t="n"/>
      <c r="H55" s="19" t="n"/>
      <c r="I55" s="6" t="n"/>
      <c r="J55" s="19" t="n"/>
      <c r="K55" s="6" t="n"/>
      <c r="L55" s="19" t="n"/>
      <c r="M55" s="6" t="n"/>
      <c r="N55" s="19" t="n"/>
      <c r="O55" s="6" t="n"/>
      <c r="P55" s="19" t="n"/>
      <c r="Q55" s="6" t="n"/>
      <c r="R55" s="19" t="n"/>
      <c r="S55" s="6" t="n"/>
      <c r="T55" s="19" t="n"/>
      <c r="U55" s="6" t="n"/>
      <c r="V55" s="20">
        <f>SUM(B55,D55,F55,H55,J55,L55,N55,P55,R55,T55)</f>
        <v/>
      </c>
      <c r="W55" s="19">
        <f>COUNTIF(C55,"P")+COUNTIF(E55,"P")+COUNTIF(G55,"P")+COUNTIF(I55,"P")+COUNTIF(K55,"P")+COUNTIF(M55,"P")+COUNTIF(O55,"P")+COUNTIF(Q55,"P")+COUNTIF(S55,"P")+COUNTIF(U55,"P")</f>
        <v/>
      </c>
      <c r="X55" s="19">
        <f>COUNTIF(C55,"A")+COUNTIF(E55,"A")+COUNTIF(G55,"A")+COUNTIF(I55,"A")+COUNTIF(K55,"A")+COUNTIF(M55,"A")+COUNTIF(O55,"A")+COUNTIF(Q55,"A")+COUNTIF(S55,"A")+COUNTIF(U55,"A")</f>
        <v/>
      </c>
      <c r="Y55" s="19" t="n"/>
      <c r="Z55" s="19">
        <f>IF(Y55="","",Y55-V55)</f>
        <v/>
      </c>
      <c r="AA55" s="21">
        <f>IF(OR(Y55="",Y55=0),"",V55/Y55)</f>
        <v/>
      </c>
      <c r="AB55" s="22">
        <f>IF(OR(Y55="",Y55=0),"",IF((10-W55-X55)&lt;=0,"N/A",Z55/(10-W55-X55)))</f>
        <v/>
      </c>
      <c r="AC55" s="19">
        <f>IF(W55=0,"",ROUND((V55/W55)*10,0))</f>
        <v/>
      </c>
    </row>
    <row r="56">
      <c r="A56" s="18" t="inlineStr">
        <is>
          <t>John Joby</t>
        </is>
      </c>
      <c r="B56" s="19" t="n"/>
      <c r="C56" s="6" t="n"/>
      <c r="D56" s="19" t="n"/>
      <c r="E56" s="6" t="n"/>
      <c r="F56" s="19" t="n"/>
      <c r="G56" s="6" t="n"/>
      <c r="H56" s="19" t="n"/>
      <c r="I56" s="6" t="n"/>
      <c r="J56" s="19" t="n"/>
      <c r="K56" s="6" t="n"/>
      <c r="L56" s="19" t="n"/>
      <c r="M56" s="6" t="n"/>
      <c r="N56" s="19" t="n"/>
      <c r="O56" s="6" t="n"/>
      <c r="P56" s="19" t="n"/>
      <c r="Q56" s="6" t="n"/>
      <c r="R56" s="19" t="n"/>
      <c r="S56" s="6" t="n"/>
      <c r="T56" s="19" t="n"/>
      <c r="U56" s="6" t="n"/>
      <c r="V56" s="20">
        <f>SUM(B56,D56,F56,H56,J56,L56,N56,P56,R56,T56)</f>
        <v/>
      </c>
      <c r="W56" s="19">
        <f>COUNTIF(C56,"P")+COUNTIF(E56,"P")+COUNTIF(G56,"P")+COUNTIF(I56,"P")+COUNTIF(K56,"P")+COUNTIF(M56,"P")+COUNTIF(O56,"P")+COUNTIF(Q56,"P")+COUNTIF(S56,"P")+COUNTIF(U56,"P")</f>
        <v/>
      </c>
      <c r="X56" s="19">
        <f>COUNTIF(C56,"A")+COUNTIF(E56,"A")+COUNTIF(G56,"A")+COUNTIF(I56,"A")+COUNTIF(K56,"A")+COUNTIF(M56,"A")+COUNTIF(O56,"A")+COUNTIF(Q56,"A")+COUNTIF(S56,"A")+COUNTIF(U56,"A")</f>
        <v/>
      </c>
      <c r="Y56" s="19" t="n"/>
      <c r="Z56" s="19">
        <f>IF(Y56="","",Y56-V56)</f>
        <v/>
      </c>
      <c r="AA56" s="21">
        <f>IF(OR(Y56="",Y56=0),"",V56/Y56)</f>
        <v/>
      </c>
      <c r="AB56" s="22">
        <f>IF(OR(Y56="",Y56=0),"",IF((10-W56-X56)&lt;=0,"N/A",Z56/(10-W56-X56)))</f>
        <v/>
      </c>
      <c r="AC56" s="19">
        <f>IF(W56=0,"",ROUND((V56/W56)*10,0))</f>
        <v/>
      </c>
    </row>
    <row r="57">
      <c r="A57" s="18" t="inlineStr">
        <is>
          <t>Jason Bean</t>
        </is>
      </c>
      <c r="B57" s="19" t="n"/>
      <c r="C57" s="6" t="n"/>
      <c r="D57" s="19" t="n"/>
      <c r="E57" s="6" t="n"/>
      <c r="F57" s="19" t="n"/>
      <c r="G57" s="6" t="n"/>
      <c r="H57" s="19" t="n"/>
      <c r="I57" s="6" t="n"/>
      <c r="J57" s="19" t="n"/>
      <c r="K57" s="6" t="n"/>
      <c r="L57" s="19" t="n"/>
      <c r="M57" s="6" t="n"/>
      <c r="N57" s="19" t="n"/>
      <c r="O57" s="6" t="n"/>
      <c r="P57" s="19" t="n"/>
      <c r="Q57" s="6" t="n"/>
      <c r="R57" s="19" t="n"/>
      <c r="S57" s="6" t="n"/>
      <c r="T57" s="19" t="n"/>
      <c r="U57" s="6" t="n"/>
      <c r="V57" s="20">
        <f>SUM(B57,D57,F57,H57,J57,L57,N57,P57,R57,T57)</f>
        <v/>
      </c>
      <c r="W57" s="19">
        <f>COUNTIF(C57,"P")+COUNTIF(E57,"P")+COUNTIF(G57,"P")+COUNTIF(I57,"P")+COUNTIF(K57,"P")+COUNTIF(M57,"P")+COUNTIF(O57,"P")+COUNTIF(Q57,"P")+COUNTIF(S57,"P")+COUNTIF(U57,"P")</f>
        <v/>
      </c>
      <c r="X57" s="19">
        <f>COUNTIF(C57,"A")+COUNTIF(E57,"A")+COUNTIF(G57,"A")+COUNTIF(I57,"A")+COUNTIF(K57,"A")+COUNTIF(M57,"A")+COUNTIF(O57,"A")+COUNTIF(Q57,"A")+COUNTIF(S57,"A")+COUNTIF(U57,"A")</f>
        <v/>
      </c>
      <c r="Y57" s="19" t="n"/>
      <c r="Z57" s="19">
        <f>IF(Y57="","",Y57-V57)</f>
        <v/>
      </c>
      <c r="AA57" s="21">
        <f>IF(OR(Y57="",Y57=0),"",V57/Y57)</f>
        <v/>
      </c>
      <c r="AB57" s="22">
        <f>IF(OR(Y57="",Y57=0),"",IF((10-W57-X57)&lt;=0,"N/A",Z57/(10-W57-X57)))</f>
        <v/>
      </c>
      <c r="AC57" s="19">
        <f>IF(W57=0,"",ROUND((V57/W57)*10,0))</f>
        <v/>
      </c>
    </row>
    <row r="60">
      <c r="A60" s="27" t="inlineStr">
        <is>
          <t>Q4 — Quarter 4</t>
        </is>
      </c>
    </row>
    <row r="61">
      <c r="A61" s="17" t="inlineStr">
        <is>
          <t>Student Name</t>
        </is>
      </c>
      <c r="B61" s="17" t="inlineStr">
        <is>
          <t>Sess 1</t>
        </is>
      </c>
      <c r="C61" s="17" t="inlineStr">
        <is>
          <t>Att 1</t>
        </is>
      </c>
      <c r="D61" s="17" t="inlineStr">
        <is>
          <t>Sess 2</t>
        </is>
      </c>
      <c r="E61" s="17" t="inlineStr">
        <is>
          <t>Att 2</t>
        </is>
      </c>
      <c r="F61" s="17" t="inlineStr">
        <is>
          <t>Sess 3</t>
        </is>
      </c>
      <c r="G61" s="17" t="inlineStr">
        <is>
          <t>Att 3</t>
        </is>
      </c>
      <c r="H61" s="17" t="inlineStr">
        <is>
          <t>Sess 4</t>
        </is>
      </c>
      <c r="I61" s="17" t="inlineStr">
        <is>
          <t>Att 4</t>
        </is>
      </c>
      <c r="J61" s="17" t="inlineStr">
        <is>
          <t>Sess 5</t>
        </is>
      </c>
      <c r="K61" s="17" t="inlineStr">
        <is>
          <t>Att 5</t>
        </is>
      </c>
      <c r="L61" s="17" t="inlineStr">
        <is>
          <t>Sess 6</t>
        </is>
      </c>
      <c r="M61" s="17" t="inlineStr">
        <is>
          <t>Att 6</t>
        </is>
      </c>
      <c r="N61" s="17" t="inlineStr">
        <is>
          <t>Sess 7</t>
        </is>
      </c>
      <c r="O61" s="17" t="inlineStr">
        <is>
          <t>Att 7</t>
        </is>
      </c>
      <c r="P61" s="17" t="inlineStr">
        <is>
          <t>Sess 8</t>
        </is>
      </c>
      <c r="Q61" s="17" t="inlineStr">
        <is>
          <t>Att 8</t>
        </is>
      </c>
      <c r="R61" s="17" t="inlineStr">
        <is>
          <t>Sess 9</t>
        </is>
      </c>
      <c r="S61" s="17" t="inlineStr">
        <is>
          <t>Att 9</t>
        </is>
      </c>
      <c r="T61" s="17" t="inlineStr">
        <is>
          <t>Sess 10</t>
        </is>
      </c>
      <c r="U61" s="17" t="inlineStr">
        <is>
          <t>Att 10</t>
        </is>
      </c>
      <c r="V61" s="17" t="inlineStr">
        <is>
          <t>Min Met</t>
        </is>
      </c>
      <c r="W61" s="17" t="inlineStr">
        <is>
          <t>Sess Att</t>
        </is>
      </c>
      <c r="X61" s="17" t="inlineStr">
        <is>
          <t>Absences</t>
        </is>
      </c>
      <c r="Y61" s="17" t="inlineStr">
        <is>
          <t>IEP Req</t>
        </is>
      </c>
      <c r="Z61" s="17" t="inlineStr">
        <is>
          <t>Min Remain</t>
        </is>
      </c>
      <c r="AA61" s="17" t="inlineStr">
        <is>
          <t>% Complete</t>
        </is>
      </c>
      <c r="AB61" s="17" t="inlineStr">
        <is>
          <t>Pace Needed</t>
        </is>
      </c>
      <c r="AC61" s="17" t="inlineStr">
        <is>
          <t>Projected</t>
        </is>
      </c>
    </row>
    <row r="62">
      <c r="A62" s="18" t="inlineStr">
        <is>
          <t>Raya Hightower</t>
        </is>
      </c>
      <c r="B62" s="19" t="n"/>
      <c r="C62" s="6" t="n"/>
      <c r="D62" s="19" t="n"/>
      <c r="E62" s="6" t="n"/>
      <c r="F62" s="19" t="n"/>
      <c r="G62" s="6" t="n"/>
      <c r="H62" s="19" t="n"/>
      <c r="I62" s="6" t="n"/>
      <c r="J62" s="19" t="n"/>
      <c r="K62" s="6" t="n"/>
      <c r="L62" s="19" t="n"/>
      <c r="M62" s="6" t="n"/>
      <c r="N62" s="19" t="n"/>
      <c r="O62" s="6" t="n"/>
      <c r="P62" s="19" t="n"/>
      <c r="Q62" s="6" t="n"/>
      <c r="R62" s="19" t="n"/>
      <c r="S62" s="6" t="n"/>
      <c r="T62" s="19" t="n"/>
      <c r="U62" s="6" t="n"/>
      <c r="V62" s="20">
        <f>SUM(B62,D62,F62,H62,J62,L62,N62,P62,R62,T62)</f>
        <v/>
      </c>
      <c r="W62" s="19">
        <f>COUNTIF(C62,"P")+COUNTIF(E62,"P")+COUNTIF(G62,"P")+COUNTIF(I62,"P")+COUNTIF(K62,"P")+COUNTIF(M62,"P")+COUNTIF(O62,"P")+COUNTIF(Q62,"P")+COUNTIF(S62,"P")+COUNTIF(U62,"P")</f>
        <v/>
      </c>
      <c r="X62" s="19">
        <f>COUNTIF(C62,"A")+COUNTIF(E62,"A")+COUNTIF(G62,"A")+COUNTIF(I62,"A")+COUNTIF(K62,"A")+COUNTIF(M62,"A")+COUNTIF(O62,"A")+COUNTIF(Q62,"A")+COUNTIF(S62,"A")+COUNTIF(U62,"A")</f>
        <v/>
      </c>
      <c r="Y62" s="19" t="n"/>
      <c r="Z62" s="19">
        <f>IF(Y62="","",Y62-V62)</f>
        <v/>
      </c>
      <c r="AA62" s="21">
        <f>IF(OR(Y62="",Y62=0),"",V62/Y62)</f>
        <v/>
      </c>
      <c r="AB62" s="22">
        <f>IF(OR(Y62="",Y62=0),"",IF((10-W62-X62)&lt;=0,"N/A",Z62/(10-W62-X62)))</f>
        <v/>
      </c>
      <c r="AC62" s="19">
        <f>IF(W62=0,"",ROUND((V62/W62)*10,0))</f>
        <v/>
      </c>
    </row>
    <row r="63">
      <c r="A63" s="18" t="inlineStr">
        <is>
          <t>Anu Vijay Anand</t>
        </is>
      </c>
      <c r="B63" s="19" t="n"/>
      <c r="C63" s="6" t="n"/>
      <c r="D63" s="19" t="n"/>
      <c r="E63" s="6" t="n"/>
      <c r="F63" s="19" t="n"/>
      <c r="G63" s="6" t="n"/>
      <c r="H63" s="19" t="n"/>
      <c r="I63" s="6" t="n"/>
      <c r="J63" s="19" t="n"/>
      <c r="K63" s="6" t="n"/>
      <c r="L63" s="19" t="n"/>
      <c r="M63" s="6" t="n"/>
      <c r="N63" s="19" t="n"/>
      <c r="O63" s="6" t="n"/>
      <c r="P63" s="19" t="n"/>
      <c r="Q63" s="6" t="n"/>
      <c r="R63" s="19" t="n"/>
      <c r="S63" s="6" t="n"/>
      <c r="T63" s="19" t="n"/>
      <c r="U63" s="6" t="n"/>
      <c r="V63" s="20">
        <f>SUM(B63,D63,F63,H63,J63,L63,N63,P63,R63,T63)</f>
        <v/>
      </c>
      <c r="W63" s="19">
        <f>COUNTIF(C63,"P")+COUNTIF(E63,"P")+COUNTIF(G63,"P")+COUNTIF(I63,"P")+COUNTIF(K63,"P")+COUNTIF(M63,"P")+COUNTIF(O63,"P")+COUNTIF(Q63,"P")+COUNTIF(S63,"P")+COUNTIF(U63,"P")</f>
        <v/>
      </c>
      <c r="X63" s="19">
        <f>COUNTIF(C63,"A")+COUNTIF(E63,"A")+COUNTIF(G63,"A")+COUNTIF(I63,"A")+COUNTIF(K63,"A")+COUNTIF(M63,"A")+COUNTIF(O63,"A")+COUNTIF(Q63,"A")+COUNTIF(S63,"A")+COUNTIF(U63,"A")</f>
        <v/>
      </c>
      <c r="Y63" s="19" t="n"/>
      <c r="Z63" s="19">
        <f>IF(Y63="","",Y63-V63)</f>
        <v/>
      </c>
      <c r="AA63" s="21">
        <f>IF(OR(Y63="",Y63=0),"",V63/Y63)</f>
        <v/>
      </c>
      <c r="AB63" s="22">
        <f>IF(OR(Y63="",Y63=0),"",IF((10-W63-X63)&lt;=0,"N/A",Z63/(10-W63-X63)))</f>
        <v/>
      </c>
      <c r="AC63" s="19">
        <f>IF(W63=0,"",ROUND((V63/W63)*10,0))</f>
        <v/>
      </c>
    </row>
    <row r="64">
      <c r="A64" s="18" t="inlineStr">
        <is>
          <t>Aadhya Gone</t>
        </is>
      </c>
      <c r="B64" s="19" t="n"/>
      <c r="C64" s="6" t="n"/>
      <c r="D64" s="19" t="n"/>
      <c r="E64" s="6" t="n"/>
      <c r="F64" s="19" t="n"/>
      <c r="G64" s="6" t="n"/>
      <c r="H64" s="19" t="n"/>
      <c r="I64" s="6" t="n"/>
      <c r="J64" s="19" t="n"/>
      <c r="K64" s="6" t="n"/>
      <c r="L64" s="19" t="n"/>
      <c r="M64" s="6" t="n"/>
      <c r="N64" s="19" t="n"/>
      <c r="O64" s="6" t="n"/>
      <c r="P64" s="19" t="n"/>
      <c r="Q64" s="6" t="n"/>
      <c r="R64" s="19" t="n"/>
      <c r="S64" s="6" t="n"/>
      <c r="T64" s="19" t="n"/>
      <c r="U64" s="6" t="n"/>
      <c r="V64" s="20">
        <f>SUM(B64,D64,F64,H64,J64,L64,N64,P64,R64,T64)</f>
        <v/>
      </c>
      <c r="W64" s="19">
        <f>COUNTIF(C64,"P")+COUNTIF(E64,"P")+COUNTIF(G64,"P")+COUNTIF(I64,"P")+COUNTIF(K64,"P")+COUNTIF(M64,"P")+COUNTIF(O64,"P")+COUNTIF(Q64,"P")+COUNTIF(S64,"P")+COUNTIF(U64,"P")</f>
        <v/>
      </c>
      <c r="X64" s="19">
        <f>COUNTIF(C64,"A")+COUNTIF(E64,"A")+COUNTIF(G64,"A")+COUNTIF(I64,"A")+COUNTIF(K64,"A")+COUNTIF(M64,"A")+COUNTIF(O64,"A")+COUNTIF(Q64,"A")+COUNTIF(S64,"A")+COUNTIF(U64,"A")</f>
        <v/>
      </c>
      <c r="Y64" s="19" t="n"/>
      <c r="Z64" s="19">
        <f>IF(Y64="","",Y64-V64)</f>
        <v/>
      </c>
      <c r="AA64" s="21">
        <f>IF(OR(Y64="",Y64=0),"",V64/Y64)</f>
        <v/>
      </c>
      <c r="AB64" s="22">
        <f>IF(OR(Y64="",Y64=0),"",IF((10-W64-X64)&lt;=0,"N/A",Z64/(10-W64-X64)))</f>
        <v/>
      </c>
      <c r="AC64" s="19">
        <f>IF(W64=0,"",ROUND((V64/W64)*10,0))</f>
        <v/>
      </c>
    </row>
    <row r="65">
      <c r="A65" s="18" t="inlineStr">
        <is>
          <t>Sumeyah Khan</t>
        </is>
      </c>
      <c r="B65" s="19" t="n"/>
      <c r="C65" s="6" t="n"/>
      <c r="D65" s="19" t="n"/>
      <c r="E65" s="6" t="n"/>
      <c r="F65" s="19" t="n"/>
      <c r="G65" s="6" t="n"/>
      <c r="H65" s="19" t="n"/>
      <c r="I65" s="6" t="n"/>
      <c r="J65" s="19" t="n"/>
      <c r="K65" s="6" t="n"/>
      <c r="L65" s="19" t="n"/>
      <c r="M65" s="6" t="n"/>
      <c r="N65" s="19" t="n"/>
      <c r="O65" s="6" t="n"/>
      <c r="P65" s="19" t="n"/>
      <c r="Q65" s="6" t="n"/>
      <c r="R65" s="19" t="n"/>
      <c r="S65" s="6" t="n"/>
      <c r="T65" s="19" t="n"/>
      <c r="U65" s="6" t="n"/>
      <c r="V65" s="20">
        <f>SUM(B65,D65,F65,H65,J65,L65,N65,P65,R65,T65)</f>
        <v/>
      </c>
      <c r="W65" s="19">
        <f>COUNTIF(C65,"P")+COUNTIF(E65,"P")+COUNTIF(G65,"P")+COUNTIF(I65,"P")+COUNTIF(K65,"P")+COUNTIF(M65,"P")+COUNTIF(O65,"P")+COUNTIF(Q65,"P")+COUNTIF(S65,"P")+COUNTIF(U65,"P")</f>
        <v/>
      </c>
      <c r="X65" s="19">
        <f>COUNTIF(C65,"A")+COUNTIF(E65,"A")+COUNTIF(G65,"A")+COUNTIF(I65,"A")+COUNTIF(K65,"A")+COUNTIF(M65,"A")+COUNTIF(O65,"A")+COUNTIF(Q65,"A")+COUNTIF(S65,"A")+COUNTIF(U65,"A")</f>
        <v/>
      </c>
      <c r="Y65" s="19" t="n"/>
      <c r="Z65" s="19">
        <f>IF(Y65="","",Y65-V65)</f>
        <v/>
      </c>
      <c r="AA65" s="21">
        <f>IF(OR(Y65="",Y65=0),"",V65/Y65)</f>
        <v/>
      </c>
      <c r="AB65" s="22">
        <f>IF(OR(Y65="",Y65=0),"",IF((10-W65-X65)&lt;=0,"N/A",Z65/(10-W65-X65)))</f>
        <v/>
      </c>
      <c r="AC65" s="19">
        <f>IF(W65=0,"",ROUND((V65/W65)*10,0))</f>
        <v/>
      </c>
    </row>
    <row r="66">
      <c r="A66" s="18" t="inlineStr">
        <is>
          <t>Maria Mujeeb</t>
        </is>
      </c>
      <c r="B66" s="19" t="n"/>
      <c r="C66" s="6" t="n"/>
      <c r="D66" s="19" t="n"/>
      <c r="E66" s="6" t="n"/>
      <c r="F66" s="19" t="n"/>
      <c r="G66" s="6" t="n"/>
      <c r="H66" s="19" t="n"/>
      <c r="I66" s="6" t="n"/>
      <c r="J66" s="19" t="n"/>
      <c r="K66" s="6" t="n"/>
      <c r="L66" s="19" t="n"/>
      <c r="M66" s="6" t="n"/>
      <c r="N66" s="19" t="n"/>
      <c r="O66" s="6" t="n"/>
      <c r="P66" s="19" t="n"/>
      <c r="Q66" s="6" t="n"/>
      <c r="R66" s="19" t="n"/>
      <c r="S66" s="6" t="n"/>
      <c r="T66" s="19" t="n"/>
      <c r="U66" s="6" t="n"/>
      <c r="V66" s="20">
        <f>SUM(B66,D66,F66,H66,J66,L66,N66,P66,R66,T66)</f>
        <v/>
      </c>
      <c r="W66" s="19">
        <f>COUNTIF(C66,"P")+COUNTIF(E66,"P")+COUNTIF(G66,"P")+COUNTIF(I66,"P")+COUNTIF(K66,"P")+COUNTIF(M66,"P")+COUNTIF(O66,"P")+COUNTIF(Q66,"P")+COUNTIF(S66,"P")+COUNTIF(U66,"P")</f>
        <v/>
      </c>
      <c r="X66" s="19">
        <f>COUNTIF(C66,"A")+COUNTIF(E66,"A")+COUNTIF(G66,"A")+COUNTIF(I66,"A")+COUNTIF(K66,"A")+COUNTIF(M66,"A")+COUNTIF(O66,"A")+COUNTIF(Q66,"A")+COUNTIF(S66,"A")+COUNTIF(U66,"A")</f>
        <v/>
      </c>
      <c r="Y66" s="19" t="n"/>
      <c r="Z66" s="19">
        <f>IF(Y66="","",Y66-V66)</f>
        <v/>
      </c>
      <c r="AA66" s="21">
        <f>IF(OR(Y66="",Y66=0),"",V66/Y66)</f>
        <v/>
      </c>
      <c r="AB66" s="22">
        <f>IF(OR(Y66="",Y66=0),"",IF((10-W66-X66)&lt;=0,"N/A",Z66/(10-W66-X66)))</f>
        <v/>
      </c>
      <c r="AC66" s="19">
        <f>IF(W66=0,"",ROUND((V66/W66)*10,0))</f>
        <v/>
      </c>
    </row>
    <row r="67">
      <c r="A67" s="18" t="inlineStr">
        <is>
          <t>Jace Ratliff</t>
        </is>
      </c>
      <c r="B67" s="19" t="n"/>
      <c r="C67" s="6" t="n"/>
      <c r="D67" s="19" t="n"/>
      <c r="E67" s="6" t="n"/>
      <c r="F67" s="19" t="n"/>
      <c r="G67" s="6" t="n"/>
      <c r="H67" s="19" t="n"/>
      <c r="I67" s="6" t="n"/>
      <c r="J67" s="19" t="n"/>
      <c r="K67" s="6" t="n"/>
      <c r="L67" s="19" t="n"/>
      <c r="M67" s="6" t="n"/>
      <c r="N67" s="19" t="n"/>
      <c r="O67" s="6" t="n"/>
      <c r="P67" s="19" t="n"/>
      <c r="Q67" s="6" t="n"/>
      <c r="R67" s="19" t="n"/>
      <c r="S67" s="6" t="n"/>
      <c r="T67" s="19" t="n"/>
      <c r="U67" s="6" t="n"/>
      <c r="V67" s="20">
        <f>SUM(B67,D67,F67,H67,J67,L67,N67,P67,R67,T67)</f>
        <v/>
      </c>
      <c r="W67" s="19">
        <f>COUNTIF(C67,"P")+COUNTIF(E67,"P")+COUNTIF(G67,"P")+COUNTIF(I67,"P")+COUNTIF(K67,"P")+COUNTIF(M67,"P")+COUNTIF(O67,"P")+COUNTIF(Q67,"P")+COUNTIF(S67,"P")+COUNTIF(U67,"P")</f>
        <v/>
      </c>
      <c r="X67" s="19">
        <f>COUNTIF(C67,"A")+COUNTIF(E67,"A")+COUNTIF(G67,"A")+COUNTIF(I67,"A")+COUNTIF(K67,"A")+COUNTIF(M67,"A")+COUNTIF(O67,"A")+COUNTIF(Q67,"A")+COUNTIF(S67,"A")+COUNTIF(U67,"A")</f>
        <v/>
      </c>
      <c r="Y67" s="19" t="n"/>
      <c r="Z67" s="19">
        <f>IF(Y67="","",Y67-V67)</f>
        <v/>
      </c>
      <c r="AA67" s="21">
        <f>IF(OR(Y67="",Y67=0),"",V67/Y67)</f>
        <v/>
      </c>
      <c r="AB67" s="22">
        <f>IF(OR(Y67="",Y67=0),"",IF((10-W67-X67)&lt;=0,"N/A",Z67/(10-W67-X67)))</f>
        <v/>
      </c>
      <c r="AC67" s="19">
        <f>IF(W67=0,"",ROUND((V67/W67)*10,0))</f>
        <v/>
      </c>
    </row>
    <row r="68">
      <c r="A68" s="18" t="inlineStr">
        <is>
          <t>Evan Allen</t>
        </is>
      </c>
      <c r="B68" s="19" t="n"/>
      <c r="C68" s="6" t="n"/>
      <c r="D68" s="19" t="n"/>
      <c r="E68" s="6" t="n"/>
      <c r="F68" s="19" t="n"/>
      <c r="G68" s="6" t="n"/>
      <c r="H68" s="19" t="n"/>
      <c r="I68" s="6" t="n"/>
      <c r="J68" s="19" t="n"/>
      <c r="K68" s="6" t="n"/>
      <c r="L68" s="19" t="n"/>
      <c r="M68" s="6" t="n"/>
      <c r="N68" s="19" t="n"/>
      <c r="O68" s="6" t="n"/>
      <c r="P68" s="19" t="n"/>
      <c r="Q68" s="6" t="n"/>
      <c r="R68" s="19" t="n"/>
      <c r="S68" s="6" t="n"/>
      <c r="T68" s="19" t="n"/>
      <c r="U68" s="6" t="n"/>
      <c r="V68" s="20">
        <f>SUM(B68,D68,F68,H68,J68,L68,N68,P68,R68,T68)</f>
        <v/>
      </c>
      <c r="W68" s="19">
        <f>COUNTIF(C68,"P")+COUNTIF(E68,"P")+COUNTIF(G68,"P")+COUNTIF(I68,"P")+COUNTIF(K68,"P")+COUNTIF(M68,"P")+COUNTIF(O68,"P")+COUNTIF(Q68,"P")+COUNTIF(S68,"P")+COUNTIF(U68,"P")</f>
        <v/>
      </c>
      <c r="X68" s="19">
        <f>COUNTIF(C68,"A")+COUNTIF(E68,"A")+COUNTIF(G68,"A")+COUNTIF(I68,"A")+COUNTIF(K68,"A")+COUNTIF(M68,"A")+COUNTIF(O68,"A")+COUNTIF(Q68,"A")+COUNTIF(S68,"A")+COUNTIF(U68,"A")</f>
        <v/>
      </c>
      <c r="Y68" s="19" t="n"/>
      <c r="Z68" s="19">
        <f>IF(Y68="","",Y68-V68)</f>
        <v/>
      </c>
      <c r="AA68" s="21">
        <f>IF(OR(Y68="",Y68=0),"",V68/Y68)</f>
        <v/>
      </c>
      <c r="AB68" s="22">
        <f>IF(OR(Y68="",Y68=0),"",IF((10-W68-X68)&lt;=0,"N/A",Z68/(10-W68-X68)))</f>
        <v/>
      </c>
      <c r="AC68" s="19">
        <f>IF(W68=0,"",ROUND((V68/W68)*10,0))</f>
        <v/>
      </c>
    </row>
    <row r="69">
      <c r="A69" s="18" t="inlineStr">
        <is>
          <t>Sai Neelagiri</t>
        </is>
      </c>
      <c r="B69" s="19" t="n"/>
      <c r="C69" s="6" t="n"/>
      <c r="D69" s="19" t="n"/>
      <c r="E69" s="6" t="n"/>
      <c r="F69" s="19" t="n"/>
      <c r="G69" s="6" t="n"/>
      <c r="H69" s="19" t="n"/>
      <c r="I69" s="6" t="n"/>
      <c r="J69" s="19" t="n"/>
      <c r="K69" s="6" t="n"/>
      <c r="L69" s="19" t="n"/>
      <c r="M69" s="6" t="n"/>
      <c r="N69" s="19" t="n"/>
      <c r="O69" s="6" t="n"/>
      <c r="P69" s="19" t="n"/>
      <c r="Q69" s="6" t="n"/>
      <c r="R69" s="19" t="n"/>
      <c r="S69" s="6" t="n"/>
      <c r="T69" s="19" t="n"/>
      <c r="U69" s="6" t="n"/>
      <c r="V69" s="20">
        <f>SUM(B69,D69,F69,H69,J69,L69,N69,P69,R69,T69)</f>
        <v/>
      </c>
      <c r="W69" s="19">
        <f>COUNTIF(C69,"P")+COUNTIF(E69,"P")+COUNTIF(G69,"P")+COUNTIF(I69,"P")+COUNTIF(K69,"P")+COUNTIF(M69,"P")+COUNTIF(O69,"P")+COUNTIF(Q69,"P")+COUNTIF(S69,"P")+COUNTIF(U69,"P")</f>
        <v/>
      </c>
      <c r="X69" s="19">
        <f>COUNTIF(C69,"A")+COUNTIF(E69,"A")+COUNTIF(G69,"A")+COUNTIF(I69,"A")+COUNTIF(K69,"A")+COUNTIF(M69,"A")+COUNTIF(O69,"A")+COUNTIF(Q69,"A")+COUNTIF(S69,"A")+COUNTIF(U69,"A")</f>
        <v/>
      </c>
      <c r="Y69" s="19" t="n"/>
      <c r="Z69" s="19">
        <f>IF(Y69="","",Y69-V69)</f>
        <v/>
      </c>
      <c r="AA69" s="21">
        <f>IF(OR(Y69="",Y69=0),"",V69/Y69)</f>
        <v/>
      </c>
      <c r="AB69" s="22">
        <f>IF(OR(Y69="",Y69=0),"",IF((10-W69-X69)&lt;=0,"N/A",Z69/(10-W69-X69)))</f>
        <v/>
      </c>
      <c r="AC69" s="19">
        <f>IF(W69=0,"",ROUND((V69/W69)*10,0))</f>
        <v/>
      </c>
    </row>
    <row r="70">
      <c r="A70" s="18" t="inlineStr">
        <is>
          <t>Fletcher Meese</t>
        </is>
      </c>
      <c r="B70" s="19" t="n"/>
      <c r="C70" s="6" t="n"/>
      <c r="D70" s="19" t="n"/>
      <c r="E70" s="6" t="n"/>
      <c r="F70" s="19" t="n"/>
      <c r="G70" s="6" t="n"/>
      <c r="H70" s="19" t="n"/>
      <c r="I70" s="6" t="n"/>
      <c r="J70" s="19" t="n"/>
      <c r="K70" s="6" t="n"/>
      <c r="L70" s="19" t="n"/>
      <c r="M70" s="6" t="n"/>
      <c r="N70" s="19" t="n"/>
      <c r="O70" s="6" t="n"/>
      <c r="P70" s="19" t="n"/>
      <c r="Q70" s="6" t="n"/>
      <c r="R70" s="19" t="n"/>
      <c r="S70" s="6" t="n"/>
      <c r="T70" s="19" t="n"/>
      <c r="U70" s="6" t="n"/>
      <c r="V70" s="20">
        <f>SUM(B70,D70,F70,H70,J70,L70,N70,P70,R70,T70)</f>
        <v/>
      </c>
      <c r="W70" s="19">
        <f>COUNTIF(C70,"P")+COUNTIF(E70,"P")+COUNTIF(G70,"P")+COUNTIF(I70,"P")+COUNTIF(K70,"P")+COUNTIF(M70,"P")+COUNTIF(O70,"P")+COUNTIF(Q70,"P")+COUNTIF(S70,"P")+COUNTIF(U70,"P")</f>
        <v/>
      </c>
      <c r="X70" s="19">
        <f>COUNTIF(C70,"A")+COUNTIF(E70,"A")+COUNTIF(G70,"A")+COUNTIF(I70,"A")+COUNTIF(K70,"A")+COUNTIF(M70,"A")+COUNTIF(O70,"A")+COUNTIF(Q70,"A")+COUNTIF(S70,"A")+COUNTIF(U70,"A")</f>
        <v/>
      </c>
      <c r="Y70" s="19" t="n"/>
      <c r="Z70" s="19">
        <f>IF(Y70="","",Y70-V70)</f>
        <v/>
      </c>
      <c r="AA70" s="21">
        <f>IF(OR(Y70="",Y70=0),"",V70/Y70)</f>
        <v/>
      </c>
      <c r="AB70" s="22">
        <f>IF(OR(Y70="",Y70=0),"",IF((10-W70-X70)&lt;=0,"N/A",Z70/(10-W70-X70)))</f>
        <v/>
      </c>
      <c r="AC70" s="19">
        <f>IF(W70=0,"",ROUND((V70/W70)*10,0))</f>
        <v/>
      </c>
    </row>
    <row r="71">
      <c r="A71" s="18" t="inlineStr">
        <is>
          <t>Elijah Aldaco</t>
        </is>
      </c>
      <c r="B71" s="19" t="n"/>
      <c r="C71" s="6" t="n"/>
      <c r="D71" s="19" t="n"/>
      <c r="E71" s="6" t="n"/>
      <c r="F71" s="19" t="n"/>
      <c r="G71" s="6" t="n"/>
      <c r="H71" s="19" t="n"/>
      <c r="I71" s="6" t="n"/>
      <c r="J71" s="19" t="n"/>
      <c r="K71" s="6" t="n"/>
      <c r="L71" s="19" t="n"/>
      <c r="M71" s="6" t="n"/>
      <c r="N71" s="19" t="n"/>
      <c r="O71" s="6" t="n"/>
      <c r="P71" s="19" t="n"/>
      <c r="Q71" s="6" t="n"/>
      <c r="R71" s="19" t="n"/>
      <c r="S71" s="6" t="n"/>
      <c r="T71" s="19" t="n"/>
      <c r="U71" s="6" t="n"/>
      <c r="V71" s="20">
        <f>SUM(B71,D71,F71,H71,J71,L71,N71,P71,R71,T71)</f>
        <v/>
      </c>
      <c r="W71" s="19">
        <f>COUNTIF(C71,"P")+COUNTIF(E71,"P")+COUNTIF(G71,"P")+COUNTIF(I71,"P")+COUNTIF(K71,"P")+COUNTIF(M71,"P")+COUNTIF(O71,"P")+COUNTIF(Q71,"P")+COUNTIF(S71,"P")+COUNTIF(U71,"P")</f>
        <v/>
      </c>
      <c r="X71" s="19">
        <f>COUNTIF(C71,"A")+COUNTIF(E71,"A")+COUNTIF(G71,"A")+COUNTIF(I71,"A")+COUNTIF(K71,"A")+COUNTIF(M71,"A")+COUNTIF(O71,"A")+COUNTIF(Q71,"A")+COUNTIF(S71,"A")+COUNTIF(U71,"A")</f>
        <v/>
      </c>
      <c r="Y71" s="19" t="n"/>
      <c r="Z71" s="19">
        <f>IF(Y71="","",Y71-V71)</f>
        <v/>
      </c>
      <c r="AA71" s="21">
        <f>IF(OR(Y71="",Y71=0),"",V71/Y71)</f>
        <v/>
      </c>
      <c r="AB71" s="22">
        <f>IF(OR(Y71="",Y71=0),"",IF((10-W71-X71)&lt;=0,"N/A",Z71/(10-W71-X71)))</f>
        <v/>
      </c>
      <c r="AC71" s="19">
        <f>IF(W71=0,"",ROUND((V71/W71)*10,0))</f>
        <v/>
      </c>
    </row>
    <row r="72">
      <c r="A72" s="18" t="inlineStr">
        <is>
          <t>Cain Gutierrez</t>
        </is>
      </c>
      <c r="B72" s="19" t="n"/>
      <c r="C72" s="6" t="n"/>
      <c r="D72" s="19" t="n"/>
      <c r="E72" s="6" t="n"/>
      <c r="F72" s="19" t="n"/>
      <c r="G72" s="6" t="n"/>
      <c r="H72" s="19" t="n"/>
      <c r="I72" s="6" t="n"/>
      <c r="J72" s="19" t="n"/>
      <c r="K72" s="6" t="n"/>
      <c r="L72" s="19" t="n"/>
      <c r="M72" s="6" t="n"/>
      <c r="N72" s="19" t="n"/>
      <c r="O72" s="6" t="n"/>
      <c r="P72" s="19" t="n"/>
      <c r="Q72" s="6" t="n"/>
      <c r="R72" s="19" t="n"/>
      <c r="S72" s="6" t="n"/>
      <c r="T72" s="19" t="n"/>
      <c r="U72" s="6" t="n"/>
      <c r="V72" s="20">
        <f>SUM(B72,D72,F72,H72,J72,L72,N72,P72,R72,T72)</f>
        <v/>
      </c>
      <c r="W72" s="19">
        <f>COUNTIF(C72,"P")+COUNTIF(E72,"P")+COUNTIF(G72,"P")+COUNTIF(I72,"P")+COUNTIF(K72,"P")+COUNTIF(M72,"P")+COUNTIF(O72,"P")+COUNTIF(Q72,"P")+COUNTIF(S72,"P")+COUNTIF(U72,"P")</f>
        <v/>
      </c>
      <c r="X72" s="19">
        <f>COUNTIF(C72,"A")+COUNTIF(E72,"A")+COUNTIF(G72,"A")+COUNTIF(I72,"A")+COUNTIF(K72,"A")+COUNTIF(M72,"A")+COUNTIF(O72,"A")+COUNTIF(Q72,"A")+COUNTIF(S72,"A")+COUNTIF(U72,"A")</f>
        <v/>
      </c>
      <c r="Y72" s="19" t="n"/>
      <c r="Z72" s="19">
        <f>IF(Y72="","",Y72-V72)</f>
        <v/>
      </c>
      <c r="AA72" s="21">
        <f>IF(OR(Y72="",Y72=0),"",V72/Y72)</f>
        <v/>
      </c>
      <c r="AB72" s="22">
        <f>IF(OR(Y72="",Y72=0),"",IF((10-W72-X72)&lt;=0,"N/A",Z72/(10-W72-X72)))</f>
        <v/>
      </c>
      <c r="AC72" s="19">
        <f>IF(W72=0,"",ROUND((V72/W72)*10,0))</f>
        <v/>
      </c>
    </row>
    <row r="73">
      <c r="A73" s="18" t="inlineStr">
        <is>
          <t>Grayson Barnhart</t>
        </is>
      </c>
      <c r="B73" s="19" t="n"/>
      <c r="C73" s="6" t="n"/>
      <c r="D73" s="19" t="n"/>
      <c r="E73" s="6" t="n"/>
      <c r="F73" s="19" t="n"/>
      <c r="G73" s="6" t="n"/>
      <c r="H73" s="19" t="n"/>
      <c r="I73" s="6" t="n"/>
      <c r="J73" s="19" t="n"/>
      <c r="K73" s="6" t="n"/>
      <c r="L73" s="19" t="n"/>
      <c r="M73" s="6" t="n"/>
      <c r="N73" s="19" t="n"/>
      <c r="O73" s="6" t="n"/>
      <c r="P73" s="19" t="n"/>
      <c r="Q73" s="6" t="n"/>
      <c r="R73" s="19" t="n"/>
      <c r="S73" s="6" t="n"/>
      <c r="T73" s="19" t="n"/>
      <c r="U73" s="6" t="n"/>
      <c r="V73" s="20">
        <f>SUM(B73,D73,F73,H73,J73,L73,N73,P73,R73,T73)</f>
        <v/>
      </c>
      <c r="W73" s="19">
        <f>COUNTIF(C73,"P")+COUNTIF(E73,"P")+COUNTIF(G73,"P")+COUNTIF(I73,"P")+COUNTIF(K73,"P")+COUNTIF(M73,"P")+COUNTIF(O73,"P")+COUNTIF(Q73,"P")+COUNTIF(S73,"P")+COUNTIF(U73,"P")</f>
        <v/>
      </c>
      <c r="X73" s="19">
        <f>COUNTIF(C73,"A")+COUNTIF(E73,"A")+COUNTIF(G73,"A")+COUNTIF(I73,"A")+COUNTIF(K73,"A")+COUNTIF(M73,"A")+COUNTIF(O73,"A")+COUNTIF(Q73,"A")+COUNTIF(S73,"A")+COUNTIF(U73,"A")</f>
        <v/>
      </c>
      <c r="Y73" s="19" t="n"/>
      <c r="Z73" s="19">
        <f>IF(Y73="","",Y73-V73)</f>
        <v/>
      </c>
      <c r="AA73" s="21">
        <f>IF(OR(Y73="",Y73=0),"",V73/Y73)</f>
        <v/>
      </c>
      <c r="AB73" s="22">
        <f>IF(OR(Y73="",Y73=0),"",IF((10-W73-X73)&lt;=0,"N/A",Z73/(10-W73-X73)))</f>
        <v/>
      </c>
      <c r="AC73" s="19">
        <f>IF(W73=0,"",ROUND((V73/W73)*10,0))</f>
        <v/>
      </c>
    </row>
    <row r="74">
      <c r="A74" s="18" t="inlineStr">
        <is>
          <t>Abel Abraham</t>
        </is>
      </c>
      <c r="B74" s="19" t="n"/>
      <c r="C74" s="6" t="n"/>
      <c r="D74" s="19" t="n"/>
      <c r="E74" s="6" t="n"/>
      <c r="F74" s="19" t="n"/>
      <c r="G74" s="6" t="n"/>
      <c r="H74" s="19" t="n"/>
      <c r="I74" s="6" t="n"/>
      <c r="J74" s="19" t="n"/>
      <c r="K74" s="6" t="n"/>
      <c r="L74" s="19" t="n"/>
      <c r="M74" s="6" t="n"/>
      <c r="N74" s="19" t="n"/>
      <c r="O74" s="6" t="n"/>
      <c r="P74" s="19" t="n"/>
      <c r="Q74" s="6" t="n"/>
      <c r="R74" s="19" t="n"/>
      <c r="S74" s="6" t="n"/>
      <c r="T74" s="19" t="n"/>
      <c r="U74" s="6" t="n"/>
      <c r="V74" s="20">
        <f>SUM(B74,D74,F74,H74,J74,L74,N74,P74,R74,T74)</f>
        <v/>
      </c>
      <c r="W74" s="19">
        <f>COUNTIF(C74,"P")+COUNTIF(E74,"P")+COUNTIF(G74,"P")+COUNTIF(I74,"P")+COUNTIF(K74,"P")+COUNTIF(M74,"P")+COUNTIF(O74,"P")+COUNTIF(Q74,"P")+COUNTIF(S74,"P")+COUNTIF(U74,"P")</f>
        <v/>
      </c>
      <c r="X74" s="19">
        <f>COUNTIF(C74,"A")+COUNTIF(E74,"A")+COUNTIF(G74,"A")+COUNTIF(I74,"A")+COUNTIF(K74,"A")+COUNTIF(M74,"A")+COUNTIF(O74,"A")+COUNTIF(Q74,"A")+COUNTIF(S74,"A")+COUNTIF(U74,"A")</f>
        <v/>
      </c>
      <c r="Y74" s="19" t="n"/>
      <c r="Z74" s="19">
        <f>IF(Y74="","",Y74-V74)</f>
        <v/>
      </c>
      <c r="AA74" s="21">
        <f>IF(OR(Y74="",Y74=0),"",V74/Y74)</f>
        <v/>
      </c>
      <c r="AB74" s="22">
        <f>IF(OR(Y74="",Y74=0),"",IF((10-W74-X74)&lt;=0,"N/A",Z74/(10-W74-X74)))</f>
        <v/>
      </c>
      <c r="AC74" s="19">
        <f>IF(W74=0,"",ROUND((V74/W74)*10,0))</f>
        <v/>
      </c>
    </row>
    <row r="75">
      <c r="A75" s="18" t="inlineStr">
        <is>
          <t>John Joby</t>
        </is>
      </c>
      <c r="B75" s="19" t="n"/>
      <c r="C75" s="6" t="n"/>
      <c r="D75" s="19" t="n"/>
      <c r="E75" s="6" t="n"/>
      <c r="F75" s="19" t="n"/>
      <c r="G75" s="6" t="n"/>
      <c r="H75" s="19" t="n"/>
      <c r="I75" s="6" t="n"/>
      <c r="J75" s="19" t="n"/>
      <c r="K75" s="6" t="n"/>
      <c r="L75" s="19" t="n"/>
      <c r="M75" s="6" t="n"/>
      <c r="N75" s="19" t="n"/>
      <c r="O75" s="6" t="n"/>
      <c r="P75" s="19" t="n"/>
      <c r="Q75" s="6" t="n"/>
      <c r="R75" s="19" t="n"/>
      <c r="S75" s="6" t="n"/>
      <c r="T75" s="19" t="n"/>
      <c r="U75" s="6" t="n"/>
      <c r="V75" s="20">
        <f>SUM(B75,D75,F75,H75,J75,L75,N75,P75,R75,T75)</f>
        <v/>
      </c>
      <c r="W75" s="19">
        <f>COUNTIF(C75,"P")+COUNTIF(E75,"P")+COUNTIF(G75,"P")+COUNTIF(I75,"P")+COUNTIF(K75,"P")+COUNTIF(M75,"P")+COUNTIF(O75,"P")+COUNTIF(Q75,"P")+COUNTIF(S75,"P")+COUNTIF(U75,"P")</f>
        <v/>
      </c>
      <c r="X75" s="19">
        <f>COUNTIF(C75,"A")+COUNTIF(E75,"A")+COUNTIF(G75,"A")+COUNTIF(I75,"A")+COUNTIF(K75,"A")+COUNTIF(M75,"A")+COUNTIF(O75,"A")+COUNTIF(Q75,"A")+COUNTIF(S75,"A")+COUNTIF(U75,"A")</f>
        <v/>
      </c>
      <c r="Y75" s="19" t="n"/>
      <c r="Z75" s="19">
        <f>IF(Y75="","",Y75-V75)</f>
        <v/>
      </c>
      <c r="AA75" s="21">
        <f>IF(OR(Y75="",Y75=0),"",V75/Y75)</f>
        <v/>
      </c>
      <c r="AB75" s="22">
        <f>IF(OR(Y75="",Y75=0),"",IF((10-W75-X75)&lt;=0,"N/A",Z75/(10-W75-X75)))</f>
        <v/>
      </c>
      <c r="AC75" s="19">
        <f>IF(W75=0,"",ROUND((V75/W75)*10,0))</f>
        <v/>
      </c>
    </row>
    <row r="76">
      <c r="A76" s="18" t="inlineStr">
        <is>
          <t>Jason Bean</t>
        </is>
      </c>
      <c r="B76" s="19" t="n"/>
      <c r="C76" s="6" t="n"/>
      <c r="D76" s="19" t="n"/>
      <c r="E76" s="6" t="n"/>
      <c r="F76" s="19" t="n"/>
      <c r="G76" s="6" t="n"/>
      <c r="H76" s="19" t="n"/>
      <c r="I76" s="6" t="n"/>
      <c r="J76" s="19" t="n"/>
      <c r="K76" s="6" t="n"/>
      <c r="L76" s="19" t="n"/>
      <c r="M76" s="6" t="n"/>
      <c r="N76" s="19" t="n"/>
      <c r="O76" s="6" t="n"/>
      <c r="P76" s="19" t="n"/>
      <c r="Q76" s="6" t="n"/>
      <c r="R76" s="19" t="n"/>
      <c r="S76" s="6" t="n"/>
      <c r="T76" s="19" t="n"/>
      <c r="U76" s="6" t="n"/>
      <c r="V76" s="20">
        <f>SUM(B76,D76,F76,H76,J76,L76,N76,P76,R76,T76)</f>
        <v/>
      </c>
      <c r="W76" s="19">
        <f>COUNTIF(C76,"P")+COUNTIF(E76,"P")+COUNTIF(G76,"P")+COUNTIF(I76,"P")+COUNTIF(K76,"P")+COUNTIF(M76,"P")+COUNTIF(O76,"P")+COUNTIF(Q76,"P")+COUNTIF(S76,"P")+COUNTIF(U76,"P")</f>
        <v/>
      </c>
      <c r="X76" s="19">
        <f>COUNTIF(C76,"A")+COUNTIF(E76,"A")+COUNTIF(G76,"A")+COUNTIF(I76,"A")+COUNTIF(K76,"A")+COUNTIF(M76,"A")+COUNTIF(O76,"A")+COUNTIF(Q76,"A")+COUNTIF(S76,"A")+COUNTIF(U76,"A")</f>
        <v/>
      </c>
      <c r="Y76" s="19" t="n"/>
      <c r="Z76" s="19">
        <f>IF(Y76="","",Y76-V76)</f>
        <v/>
      </c>
      <c r="AA76" s="21">
        <f>IF(OR(Y76="",Y76=0),"",V76/Y76)</f>
        <v/>
      </c>
      <c r="AB76" s="22">
        <f>IF(OR(Y76="",Y76=0),"",IF((10-W76-X76)&lt;=0,"N/A",Z76/(10-W76-X76)))</f>
        <v/>
      </c>
      <c r="AC76" s="19">
        <f>IF(W76=0,"",ROUND((V76/W76)*10,0))</f>
        <v/>
      </c>
    </row>
  </sheetData>
  <mergeCells count="5">
    <mergeCell ref="A41:AC41"/>
    <mergeCell ref="A1:AC1"/>
    <mergeCell ref="A22:AC22"/>
    <mergeCell ref="A3:AC3"/>
    <mergeCell ref="A60:AC60"/>
  </mergeCells>
  <conditionalFormatting sqref="AA5:AA19">
    <cfRule type="cellIs" priority="1" operator="greaterThanOrEqual" dxfId="0">
      <formula>1</formula>
    </cfRule>
    <cfRule type="cellIs" priority="2" operator="between" dxfId="1">
      <formula>0.5</formula>
      <formula>0.9999</formula>
    </cfRule>
    <cfRule type="cellIs" priority="3" operator="lessThan" dxfId="2">
      <formula>0.5</formula>
    </cfRule>
  </conditionalFormatting>
  <conditionalFormatting sqref="V5:V19">
    <cfRule type="expression" priority="4" dxfId="0">
      <formula>AND(V5&gt;=Y5,Y5&lt;&gt;"")</formula>
    </cfRule>
    <cfRule type="expression" priority="5" dxfId="2">
      <formula>AND(V5&lt;Y5,Y5&lt;&gt;"")</formula>
    </cfRule>
  </conditionalFormatting>
  <conditionalFormatting sqref="AB5:AB19">
    <cfRule type="expression" priority="6" dxfId="2">
      <formula>AND(ISNUMBER(AB5),W5&gt;0,AB5&gt;2*(V5/W5))</formula>
    </cfRule>
  </conditionalFormatting>
  <conditionalFormatting sqref="A5:A19">
    <cfRule type="expression" priority="7" dxfId="2">
      <formula>OR(AND(C5="A",E5="A"),AND(E5="A",G5="A"),AND(G5="A",I5="A"),AND(I5="A",K5="A"),AND(K5="A",M5="A"),AND(M5="A",O5="A"),AND(O5="A",Q5="A"),AND(Q5="A",S5="A"),AND(S5="A",U5="A"))</formula>
    </cfRule>
  </conditionalFormatting>
  <conditionalFormatting sqref="AA24:AA38">
    <cfRule type="cellIs" priority="8" operator="greaterThanOrEqual" dxfId="0">
      <formula>1</formula>
    </cfRule>
    <cfRule type="cellIs" priority="9" operator="between" dxfId="1">
      <formula>0.5</formula>
      <formula>0.9999</formula>
    </cfRule>
    <cfRule type="cellIs" priority="10" operator="lessThan" dxfId="2">
      <formula>0.5</formula>
    </cfRule>
  </conditionalFormatting>
  <conditionalFormatting sqref="V24:V38">
    <cfRule type="expression" priority="11" dxfId="0">
      <formula>AND(V24&gt;=Y24,Y24&lt;&gt;"")</formula>
    </cfRule>
    <cfRule type="expression" priority="12" dxfId="2">
      <formula>AND(V24&lt;Y24,Y24&lt;&gt;"")</formula>
    </cfRule>
  </conditionalFormatting>
  <conditionalFormatting sqref="AB24:AB38">
    <cfRule type="expression" priority="13" dxfId="2">
      <formula>AND(ISNUMBER(AB24),W24&gt;0,AB24&gt;2*(V24/W24))</formula>
    </cfRule>
  </conditionalFormatting>
  <conditionalFormatting sqref="A24:A38">
    <cfRule type="expression" priority="14" dxfId="2">
      <formula>OR(AND(C24="A",E24="A"),AND(E24="A",G24="A"),AND(G24="A",I24="A"),AND(I24="A",K24="A"),AND(K24="A",M24="A"),AND(M24="A",O24="A"),AND(O24="A",Q24="A"),AND(Q24="A",S24="A"),AND(S24="A",U24="A"))</formula>
    </cfRule>
  </conditionalFormatting>
  <conditionalFormatting sqref="AA43:AA57">
    <cfRule type="cellIs" priority="15" operator="greaterThanOrEqual" dxfId="0">
      <formula>1</formula>
    </cfRule>
    <cfRule type="cellIs" priority="16" operator="between" dxfId="1">
      <formula>0.5</formula>
      <formula>0.9999</formula>
    </cfRule>
    <cfRule type="cellIs" priority="17" operator="lessThan" dxfId="2">
      <formula>0.5</formula>
    </cfRule>
  </conditionalFormatting>
  <conditionalFormatting sqref="V43:V57">
    <cfRule type="expression" priority="18" dxfId="0">
      <formula>AND(V43&gt;=Y43,Y43&lt;&gt;"")</formula>
    </cfRule>
    <cfRule type="expression" priority="19" dxfId="2">
      <formula>AND(V43&lt;Y43,Y43&lt;&gt;"")</formula>
    </cfRule>
  </conditionalFormatting>
  <conditionalFormatting sqref="AB43:AB57">
    <cfRule type="expression" priority="20" dxfId="2">
      <formula>AND(ISNUMBER(AB43),W43&gt;0,AB43&gt;2*(V43/W43))</formula>
    </cfRule>
  </conditionalFormatting>
  <conditionalFormatting sqref="A43:A57">
    <cfRule type="expression" priority="21" dxfId="2">
      <formula>OR(AND(C43="A",E43="A"),AND(E43="A",G43="A"),AND(G43="A",I43="A"),AND(I43="A",K43="A"),AND(K43="A",M43="A"),AND(M43="A",O43="A"),AND(O43="A",Q43="A"),AND(Q43="A",S43="A"),AND(S43="A",U43="A"))</formula>
    </cfRule>
  </conditionalFormatting>
  <conditionalFormatting sqref="AA62:AA76">
    <cfRule type="cellIs" priority="22" operator="greaterThanOrEqual" dxfId="0">
      <formula>1</formula>
    </cfRule>
    <cfRule type="cellIs" priority="23" operator="between" dxfId="1">
      <formula>0.5</formula>
      <formula>0.9999</formula>
    </cfRule>
    <cfRule type="cellIs" priority="24" operator="lessThan" dxfId="2">
      <formula>0.5</formula>
    </cfRule>
  </conditionalFormatting>
  <conditionalFormatting sqref="V62:V76">
    <cfRule type="expression" priority="25" dxfId="0">
      <formula>AND(V62&gt;=Y62,Y62&lt;&gt;"")</formula>
    </cfRule>
    <cfRule type="expression" priority="26" dxfId="2">
      <formula>AND(V62&lt;Y62,Y62&lt;&gt;"")</formula>
    </cfRule>
  </conditionalFormatting>
  <conditionalFormatting sqref="AB62:AB76">
    <cfRule type="expression" priority="27" dxfId="2">
      <formula>AND(ISNUMBER(AB62),W62&gt;0,AB62&gt;2*(V62/W62))</formula>
    </cfRule>
  </conditionalFormatting>
  <conditionalFormatting sqref="A62:A76">
    <cfRule type="expression" priority="28" dxfId="2">
      <formula>OR(AND(C62="A",E62="A"),AND(E62="A",G62="A"),AND(G62="A",I62="A"),AND(I62="A",K62="A"),AND(K62="A",M62="A"),AND(M62="A",O62="A"),AND(O62="A",Q62="A"),AND(Q62="A",S62="A"),AND(S62="A",U62="A"))</formula>
    </cfRule>
  </conditionalFormatting>
  <dataValidations count="1">
    <dataValidation sqref="C5 C6 C7 C8 C9 C10 C11 C12 C13 C14 C15 C16 C17 C18 C19 C24 C25 C26 C27 C28 C29 C30 C31 C32 C33 C34 C35 C36 C37 C38 C43 C44 C45 C46 C47 C48 C49 C50 C51 C52 C53 C54 C55 C56 C57 C62 C63 C64 C65 C66 C67 C68 C69 C70 C71 C72 C73 C74 C75 C76 E5 E6 E7 E8 E9 E10 E11 E12 E13 E14 E15 E16 E17 E18 E19 E24 E25 E26 E27 E28 E29 E30 E31 E32 E33 E34 E35 E36 E37 E38 E43 E44 E45 E46 E47 E48 E49 E50 E51 E52 E53 E54 E55 E56 E57 E62 E63 E64 E65 E66 E67 E68 E69 E70 E71 E72 E73 E74 E75 E76 G5 G6 G7 G8 G9 G10 G11 G12 G13 G14 G15 G16 G17 G18 G19 G24 G25 G26 G27 G28 G29 G30 G31 G32 G33 G34 G35 G36 G37 G38 G43 G44 G45 G46 G47 G48 G49 G50 G51 G52 G53 G54 G55 G56 G57 G62 G63 G64 G65 G66 G67 G68 G69 G70 G71 G72 G73 G74 G75 G76 I5 I6 I7 I8 I9 I10 I11 I12 I13 I14 I15 I16 I17 I18 I19 I24 I25 I26 I27 I28 I29 I30 I31 I32 I33 I34 I35 I36 I37 I38 I43 I44 I45 I46 I47 I48 I49 I50 I51 I52 I53 I54 I55 I56 I57 I62 I63 I64 I65 I66 I67 I68 I69 I70 I71 I72 I73 I74 I75 I76 K5 K6 K7 K8 K9 K10 K11 K12 K13 K14 K15 K16 K17 K18 K19 K24 K25 K26 K27 K28 K29 K30 K31 K32 K33 K34 K35 K36 K37 K38 K43 K44 K45 K46 K47 K48 K49 K50 K51 K52 K53 K54 K55 K56 K57 K62 K63 K64 K65 K66 K67 K68 K69 K70 K71 K72 K73 K74 K75 K76 M5 M6 M7 M8 M9 M10 M11 M12 M13 M14 M15 M16 M17 M18 M19 M24 M25 M26 M27 M28 M29 M30 M31 M32 M33 M34 M35 M36 M37 M38 M43 M44 M45 M46 M47 M48 M49 M50 M51 M52 M53 M54 M55 M56 M57 M62 M63 M64 M65 M66 M67 M68 M69 M70 M71 M72 M73 M74 M75 M76 O5 O6 O7 O8 O9 O10 O11 O12 O13 O14 O15 O16 O17 O18 O19 O24 O25 O26 O27 O28 O29 O30 O31 O32 O33 O34 O35 O36 O37 O38 O43 O44 O45 O46 O47 O48 O49 O50 O51 O52 O53 O54 O55 O56 O57 O62 O63 O64 O65 O66 O67 O68 O69 O70 O71 O72 O73 O74 O75 O76 Q5 Q6 Q7 Q8 Q9 Q10 Q11 Q12 Q13 Q14 Q15 Q16 Q17 Q18 Q19 Q24 Q25 Q26 Q27 Q28 Q29 Q30 Q31 Q32 Q33 Q34 Q35 Q36 Q37 Q38 Q43 Q44 Q45 Q46 Q47 Q48 Q49 Q50 Q51 Q52 Q53 Q54 Q55 Q56 Q57 Q62 Q63 Q64 Q65 Q66 Q67 Q68 Q69 Q70 Q71 Q72 Q73 Q74 Q75 Q76 S5 S6 S7 S8 S9 S10 S11 S12 S13 S14 S15 S16 S17 S18 S19 S24 S25 S26 S27 S28 S29 S30 S31 S32 S33 S34 S35 S36 S37 S38 S43 S44 S45 S46 S47 S48 S49 S50 S51 S52 S53 S54 S55 S56 S57 S62 S63 S64 S65 S66 S67 S68 S69 S70 S71 S72 S73 S74 S75 S76 U5 U6 U7 U8 U9 U10 U11 U12 U13 U14 U15 U16 U17 U18 U19 U24 U25 U26 U27 U28 U29 U30 U31 U32 U33 U34 U35 U36 U37 U38 U43 U44 U45 U46 U47 U48 U49 U50 U51 U52 U53 U54 U55 U56 U57 U62 U63 U64 U65 U66 U67 U68 U69 U70 U71 U72 U73 U74 U75 U76" showDropDown="0" showInputMessage="0" showErrorMessage="1" allowBlank="1" errorTitle="Invalid" error="Enter P (Present), A (Absent), or R (Rescheduled)" type="list">
      <formula1>"P,A,R"</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FFD966"/>
    <outlinePr summaryBelow="1" summaryRight="1"/>
    <pageSetUpPr fitToPage="1"/>
  </sheetPr>
  <dimension ref="A1:G502"/>
  <sheetViews>
    <sheetView workbookViewId="0">
      <pane ySplit="2" topLeftCell="A3" activePane="bottomLeft" state="frozen"/>
      <selection pane="bottomLeft" activeCell="A1" sqref="A1"/>
    </sheetView>
  </sheetViews>
  <sheetFormatPr baseColWidth="8" defaultRowHeight="15"/>
  <cols>
    <col width="14" customWidth="1" min="1" max="1"/>
    <col width="22" customWidth="1" min="2" max="2"/>
    <col width="18" customWidth="1" min="3" max="3"/>
    <col width="22" customWidth="1" min="4" max="4"/>
    <col width="30" customWidth="1" min="5" max="5"/>
    <col width="30" customWidth="1" min="6" max="6"/>
    <col width="18" customWidth="1" min="7" max="7"/>
  </cols>
  <sheetData>
    <row r="1">
      <c r="A1" s="15" t="inlineStr">
        <is>
          <t>Session Notes</t>
        </is>
      </c>
    </row>
    <row r="2">
      <c r="A2" s="28" t="inlineStr">
        <is>
          <t>Date</t>
        </is>
      </c>
      <c r="B2" s="28" t="inlineStr">
        <is>
          <t>Student Name</t>
        </is>
      </c>
      <c r="C2" s="28" t="inlineStr">
        <is>
          <t>Service Type</t>
        </is>
      </c>
      <c r="D2" s="28" t="inlineStr">
        <is>
          <t>Skill Targeted</t>
        </is>
      </c>
      <c r="E2" s="28" t="inlineStr">
        <is>
          <t>Student Response</t>
        </is>
      </c>
      <c r="F2" s="28" t="inlineStr">
        <is>
          <t>Behavior Notes</t>
        </is>
      </c>
      <c r="G2" s="28" t="inlineStr">
        <is>
          <t>Provider</t>
        </is>
      </c>
    </row>
    <row r="3">
      <c r="A3" s="29" t="n"/>
      <c r="B3" s="30" t="n"/>
      <c r="C3" s="30" t="n"/>
      <c r="D3" s="31" t="n"/>
      <c r="E3" s="31" t="n"/>
      <c r="F3" s="31" t="n"/>
      <c r="G3" s="31" t="n"/>
    </row>
    <row r="4">
      <c r="A4" s="32" t="n"/>
      <c r="B4" s="6" t="n"/>
      <c r="C4" s="6" t="n"/>
      <c r="D4" s="18" t="n"/>
      <c r="E4" s="18" t="n"/>
      <c r="F4" s="18" t="n"/>
      <c r="G4" s="18" t="n"/>
    </row>
    <row r="5">
      <c r="A5" s="29" t="n"/>
      <c r="B5" s="30" t="n"/>
      <c r="C5" s="30" t="n"/>
      <c r="D5" s="31" t="n"/>
      <c r="E5" s="31" t="n"/>
      <c r="F5" s="31" t="n"/>
      <c r="G5" s="31" t="n"/>
    </row>
    <row r="6">
      <c r="A6" s="32" t="n"/>
      <c r="B6" s="6" t="n"/>
      <c r="C6" s="6" t="n"/>
      <c r="D6" s="18" t="n"/>
      <c r="E6" s="18" t="n"/>
      <c r="F6" s="18" t="n"/>
      <c r="G6" s="18" t="n"/>
    </row>
    <row r="7">
      <c r="A7" s="29" t="n"/>
      <c r="B7" s="30" t="n"/>
      <c r="C7" s="30" t="n"/>
      <c r="D7" s="31" t="n"/>
      <c r="E7" s="31" t="n"/>
      <c r="F7" s="31" t="n"/>
      <c r="G7" s="31" t="n"/>
    </row>
    <row r="8">
      <c r="A8" s="32" t="n"/>
      <c r="B8" s="6" t="n"/>
      <c r="C8" s="6" t="n"/>
      <c r="D8" s="18" t="n"/>
      <c r="E8" s="18" t="n"/>
      <c r="F8" s="18" t="n"/>
      <c r="G8" s="18" t="n"/>
    </row>
    <row r="9">
      <c r="A9" s="29" t="n"/>
      <c r="B9" s="30" t="n"/>
      <c r="C9" s="30" t="n"/>
      <c r="D9" s="31" t="n"/>
      <c r="E9" s="31" t="n"/>
      <c r="F9" s="31" t="n"/>
      <c r="G9" s="31" t="n"/>
    </row>
    <row r="10">
      <c r="A10" s="32" t="n"/>
      <c r="B10" s="6" t="n"/>
      <c r="C10" s="6" t="n"/>
      <c r="D10" s="18" t="n"/>
      <c r="E10" s="18" t="n"/>
      <c r="F10" s="18" t="n"/>
      <c r="G10" s="18" t="n"/>
    </row>
    <row r="11">
      <c r="A11" s="29" t="n"/>
      <c r="B11" s="30" t="n"/>
      <c r="C11" s="30" t="n"/>
      <c r="D11" s="31" t="n"/>
      <c r="E11" s="31" t="n"/>
      <c r="F11" s="31" t="n"/>
      <c r="G11" s="31" t="n"/>
    </row>
    <row r="12">
      <c r="A12" s="32" t="n"/>
      <c r="B12" s="6" t="n"/>
      <c r="C12" s="6" t="n"/>
      <c r="D12" s="18" t="n"/>
      <c r="E12" s="18" t="n"/>
      <c r="F12" s="18" t="n"/>
      <c r="G12" s="18" t="n"/>
    </row>
    <row r="13">
      <c r="A13" s="29" t="n"/>
      <c r="B13" s="30" t="n"/>
      <c r="C13" s="30" t="n"/>
      <c r="D13" s="31" t="n"/>
      <c r="E13" s="31" t="n"/>
      <c r="F13" s="31" t="n"/>
      <c r="G13" s="31" t="n"/>
    </row>
    <row r="14">
      <c r="A14" s="32" t="n"/>
      <c r="B14" s="6" t="n"/>
      <c r="C14" s="6" t="n"/>
      <c r="D14" s="18" t="n"/>
      <c r="E14" s="18" t="n"/>
      <c r="F14" s="18" t="n"/>
      <c r="G14" s="18" t="n"/>
    </row>
    <row r="15">
      <c r="A15" s="29" t="n"/>
      <c r="B15" s="30" t="n"/>
      <c r="C15" s="30" t="n"/>
      <c r="D15" s="31" t="n"/>
      <c r="E15" s="31" t="n"/>
      <c r="F15" s="31" t="n"/>
      <c r="G15" s="31" t="n"/>
    </row>
    <row r="16">
      <c r="A16" s="32" t="n"/>
      <c r="B16" s="6" t="n"/>
      <c r="C16" s="6" t="n"/>
      <c r="D16" s="18" t="n"/>
      <c r="E16" s="18" t="n"/>
      <c r="F16" s="18" t="n"/>
      <c r="G16" s="18" t="n"/>
    </row>
    <row r="17">
      <c r="A17" s="29" t="n"/>
      <c r="B17" s="30" t="n"/>
      <c r="C17" s="30" t="n"/>
      <c r="D17" s="31" t="n"/>
      <c r="E17" s="31" t="n"/>
      <c r="F17" s="31" t="n"/>
      <c r="G17" s="31" t="n"/>
    </row>
    <row r="18">
      <c r="A18" s="32" t="n"/>
      <c r="B18" s="6" t="n"/>
      <c r="C18" s="6" t="n"/>
      <c r="D18" s="18" t="n"/>
      <c r="E18" s="18" t="n"/>
      <c r="F18" s="18" t="n"/>
      <c r="G18" s="18" t="n"/>
    </row>
    <row r="19">
      <c r="A19" s="29" t="n"/>
      <c r="B19" s="30" t="n"/>
      <c r="C19" s="30" t="n"/>
      <c r="D19" s="31" t="n"/>
      <c r="E19" s="31" t="n"/>
      <c r="F19" s="31" t="n"/>
      <c r="G19" s="31" t="n"/>
    </row>
    <row r="20">
      <c r="A20" s="32" t="n"/>
      <c r="B20" s="6" t="n"/>
      <c r="C20" s="6" t="n"/>
      <c r="D20" s="18" t="n"/>
      <c r="E20" s="18" t="n"/>
      <c r="F20" s="18" t="n"/>
      <c r="G20" s="18" t="n"/>
    </row>
    <row r="21">
      <c r="A21" s="29" t="n"/>
      <c r="B21" s="30" t="n"/>
      <c r="C21" s="30" t="n"/>
      <c r="D21" s="31" t="n"/>
      <c r="E21" s="31" t="n"/>
      <c r="F21" s="31" t="n"/>
      <c r="G21" s="31" t="n"/>
    </row>
    <row r="22">
      <c r="A22" s="32" t="n"/>
      <c r="B22" s="6" t="n"/>
      <c r="C22" s="6" t="n"/>
      <c r="D22" s="18" t="n"/>
      <c r="E22" s="18" t="n"/>
      <c r="F22" s="18" t="n"/>
      <c r="G22" s="18" t="n"/>
    </row>
    <row r="23">
      <c r="A23" s="29" t="n"/>
      <c r="B23" s="30" t="n"/>
      <c r="C23" s="30" t="n"/>
      <c r="D23" s="31" t="n"/>
      <c r="E23" s="31" t="n"/>
      <c r="F23" s="31" t="n"/>
      <c r="G23" s="31" t="n"/>
    </row>
    <row r="24">
      <c r="A24" s="32" t="n"/>
      <c r="B24" s="6" t="n"/>
      <c r="C24" s="6" t="n"/>
      <c r="D24" s="18" t="n"/>
      <c r="E24" s="18" t="n"/>
      <c r="F24" s="18" t="n"/>
      <c r="G24" s="18" t="n"/>
    </row>
    <row r="25">
      <c r="A25" s="29" t="n"/>
      <c r="B25" s="30" t="n"/>
      <c r="C25" s="30" t="n"/>
      <c r="D25" s="31" t="n"/>
      <c r="E25" s="31" t="n"/>
      <c r="F25" s="31" t="n"/>
      <c r="G25" s="31" t="n"/>
    </row>
    <row r="26">
      <c r="A26" s="32" t="n"/>
      <c r="B26" s="6" t="n"/>
      <c r="C26" s="6" t="n"/>
      <c r="D26" s="18" t="n"/>
      <c r="E26" s="18" t="n"/>
      <c r="F26" s="18" t="n"/>
      <c r="G26" s="18" t="n"/>
    </row>
    <row r="27">
      <c r="A27" s="29" t="n"/>
      <c r="B27" s="30" t="n"/>
      <c r="C27" s="30" t="n"/>
      <c r="D27" s="31" t="n"/>
      <c r="E27" s="31" t="n"/>
      <c r="F27" s="31" t="n"/>
      <c r="G27" s="31" t="n"/>
    </row>
    <row r="28">
      <c r="A28" s="32" t="n"/>
      <c r="B28" s="6" t="n"/>
      <c r="C28" s="6" t="n"/>
      <c r="D28" s="18" t="n"/>
      <c r="E28" s="18" t="n"/>
      <c r="F28" s="18" t="n"/>
      <c r="G28" s="18" t="n"/>
    </row>
    <row r="29">
      <c r="A29" s="29" t="n"/>
      <c r="B29" s="30" t="n"/>
      <c r="C29" s="30" t="n"/>
      <c r="D29" s="31" t="n"/>
      <c r="E29" s="31" t="n"/>
      <c r="F29" s="31" t="n"/>
      <c r="G29" s="31" t="n"/>
    </row>
    <row r="30">
      <c r="A30" s="32" t="n"/>
      <c r="B30" s="6" t="n"/>
      <c r="C30" s="6" t="n"/>
      <c r="D30" s="18" t="n"/>
      <c r="E30" s="18" t="n"/>
      <c r="F30" s="18" t="n"/>
      <c r="G30" s="18" t="n"/>
    </row>
    <row r="31">
      <c r="A31" s="29" t="n"/>
      <c r="B31" s="30" t="n"/>
      <c r="C31" s="30" t="n"/>
      <c r="D31" s="31" t="n"/>
      <c r="E31" s="31" t="n"/>
      <c r="F31" s="31" t="n"/>
      <c r="G31" s="31" t="n"/>
    </row>
    <row r="32">
      <c r="A32" s="32" t="n"/>
      <c r="B32" s="6" t="n"/>
      <c r="C32" s="6" t="n"/>
      <c r="D32" s="18" t="n"/>
      <c r="E32" s="18" t="n"/>
      <c r="F32" s="18" t="n"/>
      <c r="G32" s="18" t="n"/>
    </row>
    <row r="33">
      <c r="A33" s="29" t="n"/>
      <c r="B33" s="30" t="n"/>
      <c r="C33" s="30" t="n"/>
      <c r="D33" s="31" t="n"/>
      <c r="E33" s="31" t="n"/>
      <c r="F33" s="31" t="n"/>
      <c r="G33" s="31" t="n"/>
    </row>
    <row r="34">
      <c r="A34" s="32" t="n"/>
      <c r="B34" s="6" t="n"/>
      <c r="C34" s="6" t="n"/>
      <c r="D34" s="18" t="n"/>
      <c r="E34" s="18" t="n"/>
      <c r="F34" s="18" t="n"/>
      <c r="G34" s="18" t="n"/>
    </row>
    <row r="35">
      <c r="A35" s="29" t="n"/>
      <c r="B35" s="30" t="n"/>
      <c r="C35" s="30" t="n"/>
      <c r="D35" s="31" t="n"/>
      <c r="E35" s="31" t="n"/>
      <c r="F35" s="31" t="n"/>
      <c r="G35" s="31" t="n"/>
    </row>
    <row r="36">
      <c r="A36" s="32" t="n"/>
      <c r="B36" s="6" t="n"/>
      <c r="C36" s="6" t="n"/>
      <c r="D36" s="18" t="n"/>
      <c r="E36" s="18" t="n"/>
      <c r="F36" s="18" t="n"/>
      <c r="G36" s="18" t="n"/>
    </row>
    <row r="37">
      <c r="A37" s="29" t="n"/>
      <c r="B37" s="30" t="n"/>
      <c r="C37" s="30" t="n"/>
      <c r="D37" s="31" t="n"/>
      <c r="E37" s="31" t="n"/>
      <c r="F37" s="31" t="n"/>
      <c r="G37" s="31" t="n"/>
    </row>
    <row r="38">
      <c r="A38" s="32" t="n"/>
      <c r="B38" s="6" t="n"/>
      <c r="C38" s="6" t="n"/>
      <c r="D38" s="18" t="n"/>
      <c r="E38" s="18" t="n"/>
      <c r="F38" s="18" t="n"/>
      <c r="G38" s="18" t="n"/>
    </row>
    <row r="39">
      <c r="A39" s="29" t="n"/>
      <c r="B39" s="30" t="n"/>
      <c r="C39" s="30" t="n"/>
      <c r="D39" s="31" t="n"/>
      <c r="E39" s="31" t="n"/>
      <c r="F39" s="31" t="n"/>
      <c r="G39" s="31" t="n"/>
    </row>
    <row r="40">
      <c r="A40" s="32" t="n"/>
      <c r="B40" s="6" t="n"/>
      <c r="C40" s="6" t="n"/>
      <c r="D40" s="18" t="n"/>
      <c r="E40" s="18" t="n"/>
      <c r="F40" s="18" t="n"/>
      <c r="G40" s="18" t="n"/>
    </row>
    <row r="41">
      <c r="A41" s="29" t="n"/>
      <c r="B41" s="30" t="n"/>
      <c r="C41" s="30" t="n"/>
      <c r="D41" s="31" t="n"/>
      <c r="E41" s="31" t="n"/>
      <c r="F41" s="31" t="n"/>
      <c r="G41" s="31" t="n"/>
    </row>
    <row r="42">
      <c r="A42" s="32" t="n"/>
      <c r="B42" s="6" t="n"/>
      <c r="C42" s="6" t="n"/>
      <c r="D42" s="18" t="n"/>
      <c r="E42" s="18" t="n"/>
      <c r="F42" s="18" t="n"/>
      <c r="G42" s="18" t="n"/>
    </row>
    <row r="43">
      <c r="A43" s="29" t="n"/>
      <c r="B43" s="30" t="n"/>
      <c r="C43" s="30" t="n"/>
      <c r="D43" s="31" t="n"/>
      <c r="E43" s="31" t="n"/>
      <c r="F43" s="31" t="n"/>
      <c r="G43" s="31" t="n"/>
    </row>
    <row r="44">
      <c r="A44" s="32" t="n"/>
      <c r="B44" s="6" t="n"/>
      <c r="C44" s="6" t="n"/>
      <c r="D44" s="18" t="n"/>
      <c r="E44" s="18" t="n"/>
      <c r="F44" s="18" t="n"/>
      <c r="G44" s="18" t="n"/>
    </row>
    <row r="45">
      <c r="A45" s="29" t="n"/>
      <c r="B45" s="30" t="n"/>
      <c r="C45" s="30" t="n"/>
      <c r="D45" s="31" t="n"/>
      <c r="E45" s="31" t="n"/>
      <c r="F45" s="31" t="n"/>
      <c r="G45" s="31" t="n"/>
    </row>
    <row r="46">
      <c r="A46" s="32" t="n"/>
      <c r="B46" s="6" t="n"/>
      <c r="C46" s="6" t="n"/>
      <c r="D46" s="18" t="n"/>
      <c r="E46" s="18" t="n"/>
      <c r="F46" s="18" t="n"/>
      <c r="G46" s="18" t="n"/>
    </row>
    <row r="47">
      <c r="A47" s="29" t="n"/>
      <c r="B47" s="30" t="n"/>
      <c r="C47" s="30" t="n"/>
      <c r="D47" s="31" t="n"/>
      <c r="E47" s="31" t="n"/>
      <c r="F47" s="31" t="n"/>
      <c r="G47" s="31" t="n"/>
    </row>
    <row r="48">
      <c r="A48" s="32" t="n"/>
      <c r="B48" s="6" t="n"/>
      <c r="C48" s="6" t="n"/>
      <c r="D48" s="18" t="n"/>
      <c r="E48" s="18" t="n"/>
      <c r="F48" s="18" t="n"/>
      <c r="G48" s="18" t="n"/>
    </row>
    <row r="49">
      <c r="A49" s="29" t="n"/>
      <c r="B49" s="30" t="n"/>
      <c r="C49" s="30" t="n"/>
      <c r="D49" s="31" t="n"/>
      <c r="E49" s="31" t="n"/>
      <c r="F49" s="31" t="n"/>
      <c r="G49" s="31" t="n"/>
    </row>
    <row r="50">
      <c r="A50" s="32" t="n"/>
      <c r="B50" s="6" t="n"/>
      <c r="C50" s="6" t="n"/>
      <c r="D50" s="18" t="n"/>
      <c r="E50" s="18" t="n"/>
      <c r="F50" s="18" t="n"/>
      <c r="G50" s="18" t="n"/>
    </row>
    <row r="51">
      <c r="A51" s="29" t="n"/>
      <c r="B51" s="30" t="n"/>
      <c r="C51" s="30" t="n"/>
      <c r="D51" s="31" t="n"/>
      <c r="E51" s="31" t="n"/>
      <c r="F51" s="31" t="n"/>
      <c r="G51" s="31" t="n"/>
    </row>
    <row r="52">
      <c r="A52" s="32" t="n"/>
      <c r="B52" s="6" t="n"/>
      <c r="C52" s="6" t="n"/>
      <c r="D52" s="18" t="n"/>
      <c r="E52" s="18" t="n"/>
      <c r="F52" s="18" t="n"/>
      <c r="G52" s="18" t="n"/>
    </row>
    <row r="53">
      <c r="A53" s="29" t="n"/>
      <c r="B53" s="30" t="n"/>
      <c r="C53" s="30" t="n"/>
      <c r="D53" s="31" t="n"/>
      <c r="E53" s="31" t="n"/>
      <c r="F53" s="31" t="n"/>
      <c r="G53" s="31" t="n"/>
    </row>
    <row r="54">
      <c r="A54" s="32" t="n"/>
      <c r="B54" s="6" t="n"/>
      <c r="C54" s="6" t="n"/>
      <c r="D54" s="18" t="n"/>
      <c r="E54" s="18" t="n"/>
      <c r="F54" s="18" t="n"/>
      <c r="G54" s="18" t="n"/>
    </row>
    <row r="55">
      <c r="A55" s="29" t="n"/>
      <c r="B55" s="30" t="n"/>
      <c r="C55" s="30" t="n"/>
      <c r="D55" s="31" t="n"/>
      <c r="E55" s="31" t="n"/>
      <c r="F55" s="31" t="n"/>
      <c r="G55" s="31" t="n"/>
    </row>
    <row r="56">
      <c r="A56" s="32" t="n"/>
      <c r="B56" s="6" t="n"/>
      <c r="C56" s="6" t="n"/>
      <c r="D56" s="18" t="n"/>
      <c r="E56" s="18" t="n"/>
      <c r="F56" s="18" t="n"/>
      <c r="G56" s="18" t="n"/>
    </row>
    <row r="57">
      <c r="A57" s="29" t="n"/>
      <c r="B57" s="30" t="n"/>
      <c r="C57" s="30" t="n"/>
      <c r="D57" s="31" t="n"/>
      <c r="E57" s="31" t="n"/>
      <c r="F57" s="31" t="n"/>
      <c r="G57" s="31" t="n"/>
    </row>
    <row r="58">
      <c r="A58" s="32" t="n"/>
      <c r="B58" s="6" t="n"/>
      <c r="C58" s="6" t="n"/>
      <c r="D58" s="18" t="n"/>
      <c r="E58" s="18" t="n"/>
      <c r="F58" s="18" t="n"/>
      <c r="G58" s="18" t="n"/>
    </row>
    <row r="59">
      <c r="A59" s="29" t="n"/>
      <c r="B59" s="30" t="n"/>
      <c r="C59" s="30" t="n"/>
      <c r="D59" s="31" t="n"/>
      <c r="E59" s="31" t="n"/>
      <c r="F59" s="31" t="n"/>
      <c r="G59" s="31" t="n"/>
    </row>
    <row r="60">
      <c r="A60" s="32" t="n"/>
      <c r="B60" s="6" t="n"/>
      <c r="C60" s="6" t="n"/>
      <c r="D60" s="18" t="n"/>
      <c r="E60" s="18" t="n"/>
      <c r="F60" s="18" t="n"/>
      <c r="G60" s="18" t="n"/>
    </row>
    <row r="61">
      <c r="A61" s="29" t="n"/>
      <c r="B61" s="30" t="n"/>
      <c r="C61" s="30" t="n"/>
      <c r="D61" s="31" t="n"/>
      <c r="E61" s="31" t="n"/>
      <c r="F61" s="31" t="n"/>
      <c r="G61" s="31" t="n"/>
    </row>
    <row r="62">
      <c r="A62" s="32" t="n"/>
      <c r="B62" s="6" t="n"/>
      <c r="C62" s="6" t="n"/>
      <c r="D62" s="18" t="n"/>
      <c r="E62" s="18" t="n"/>
      <c r="F62" s="18" t="n"/>
      <c r="G62" s="18" t="n"/>
    </row>
    <row r="63">
      <c r="A63" s="29" t="n"/>
      <c r="B63" s="30" t="n"/>
      <c r="C63" s="30" t="n"/>
      <c r="D63" s="31" t="n"/>
      <c r="E63" s="31" t="n"/>
      <c r="F63" s="31" t="n"/>
      <c r="G63" s="31" t="n"/>
    </row>
    <row r="64">
      <c r="A64" s="32" t="n"/>
      <c r="B64" s="6" t="n"/>
      <c r="C64" s="6" t="n"/>
      <c r="D64" s="18" t="n"/>
      <c r="E64" s="18" t="n"/>
      <c r="F64" s="18" t="n"/>
      <c r="G64" s="18" t="n"/>
    </row>
    <row r="65">
      <c r="A65" s="29" t="n"/>
      <c r="B65" s="30" t="n"/>
      <c r="C65" s="30" t="n"/>
      <c r="D65" s="31" t="n"/>
      <c r="E65" s="31" t="n"/>
      <c r="F65" s="31" t="n"/>
      <c r="G65" s="31" t="n"/>
    </row>
    <row r="66">
      <c r="A66" s="32" t="n"/>
      <c r="B66" s="6" t="n"/>
      <c r="C66" s="6" t="n"/>
      <c r="D66" s="18" t="n"/>
      <c r="E66" s="18" t="n"/>
      <c r="F66" s="18" t="n"/>
      <c r="G66" s="18" t="n"/>
    </row>
    <row r="67">
      <c r="A67" s="29" t="n"/>
      <c r="B67" s="30" t="n"/>
      <c r="C67" s="30" t="n"/>
      <c r="D67" s="31" t="n"/>
      <c r="E67" s="31" t="n"/>
      <c r="F67" s="31" t="n"/>
      <c r="G67" s="31" t="n"/>
    </row>
    <row r="68">
      <c r="A68" s="32" t="n"/>
      <c r="B68" s="6" t="n"/>
      <c r="C68" s="6" t="n"/>
      <c r="D68" s="18" t="n"/>
      <c r="E68" s="18" t="n"/>
      <c r="F68" s="18" t="n"/>
      <c r="G68" s="18" t="n"/>
    </row>
    <row r="69">
      <c r="A69" s="29" t="n"/>
      <c r="B69" s="30" t="n"/>
      <c r="C69" s="30" t="n"/>
      <c r="D69" s="31" t="n"/>
      <c r="E69" s="31" t="n"/>
      <c r="F69" s="31" t="n"/>
      <c r="G69" s="31" t="n"/>
    </row>
    <row r="70">
      <c r="A70" s="32" t="n"/>
      <c r="B70" s="6" t="n"/>
      <c r="C70" s="6" t="n"/>
      <c r="D70" s="18" t="n"/>
      <c r="E70" s="18" t="n"/>
      <c r="F70" s="18" t="n"/>
      <c r="G70" s="18" t="n"/>
    </row>
    <row r="71">
      <c r="A71" s="29" t="n"/>
      <c r="B71" s="30" t="n"/>
      <c r="C71" s="30" t="n"/>
      <c r="D71" s="31" t="n"/>
      <c r="E71" s="31" t="n"/>
      <c r="F71" s="31" t="n"/>
      <c r="G71" s="31" t="n"/>
    </row>
    <row r="72">
      <c r="A72" s="32" t="n"/>
      <c r="B72" s="6" t="n"/>
      <c r="C72" s="6" t="n"/>
      <c r="D72" s="18" t="n"/>
      <c r="E72" s="18" t="n"/>
      <c r="F72" s="18" t="n"/>
      <c r="G72" s="18" t="n"/>
    </row>
    <row r="73">
      <c r="A73" s="29" t="n"/>
      <c r="B73" s="30" t="n"/>
      <c r="C73" s="30" t="n"/>
      <c r="D73" s="31" t="n"/>
      <c r="E73" s="31" t="n"/>
      <c r="F73" s="31" t="n"/>
      <c r="G73" s="31" t="n"/>
    </row>
    <row r="74">
      <c r="A74" s="32" t="n"/>
      <c r="B74" s="6" t="n"/>
      <c r="C74" s="6" t="n"/>
      <c r="D74" s="18" t="n"/>
      <c r="E74" s="18" t="n"/>
      <c r="F74" s="18" t="n"/>
      <c r="G74" s="18" t="n"/>
    </row>
    <row r="75">
      <c r="A75" s="29" t="n"/>
      <c r="B75" s="30" t="n"/>
      <c r="C75" s="30" t="n"/>
      <c r="D75" s="31" t="n"/>
      <c r="E75" s="31" t="n"/>
      <c r="F75" s="31" t="n"/>
      <c r="G75" s="31" t="n"/>
    </row>
    <row r="76">
      <c r="A76" s="32" t="n"/>
      <c r="B76" s="6" t="n"/>
      <c r="C76" s="6" t="n"/>
      <c r="D76" s="18" t="n"/>
      <c r="E76" s="18" t="n"/>
      <c r="F76" s="18" t="n"/>
      <c r="G76" s="18" t="n"/>
    </row>
    <row r="77">
      <c r="A77" s="29" t="n"/>
      <c r="B77" s="30" t="n"/>
      <c r="C77" s="30" t="n"/>
      <c r="D77" s="31" t="n"/>
      <c r="E77" s="31" t="n"/>
      <c r="F77" s="31" t="n"/>
      <c r="G77" s="31" t="n"/>
    </row>
    <row r="78">
      <c r="A78" s="32" t="n"/>
      <c r="B78" s="6" t="n"/>
      <c r="C78" s="6" t="n"/>
      <c r="D78" s="18" t="n"/>
      <c r="E78" s="18" t="n"/>
      <c r="F78" s="18" t="n"/>
      <c r="G78" s="18" t="n"/>
    </row>
    <row r="79">
      <c r="A79" s="29" t="n"/>
      <c r="B79" s="30" t="n"/>
      <c r="C79" s="30" t="n"/>
      <c r="D79" s="31" t="n"/>
      <c r="E79" s="31" t="n"/>
      <c r="F79" s="31" t="n"/>
      <c r="G79" s="31" t="n"/>
    </row>
    <row r="80">
      <c r="A80" s="32" t="n"/>
      <c r="B80" s="6" t="n"/>
      <c r="C80" s="6" t="n"/>
      <c r="D80" s="18" t="n"/>
      <c r="E80" s="18" t="n"/>
      <c r="F80" s="18" t="n"/>
      <c r="G80" s="18" t="n"/>
    </row>
    <row r="81">
      <c r="A81" s="29" t="n"/>
      <c r="B81" s="30" t="n"/>
      <c r="C81" s="30" t="n"/>
      <c r="D81" s="31" t="n"/>
      <c r="E81" s="31" t="n"/>
      <c r="F81" s="31" t="n"/>
      <c r="G81" s="31" t="n"/>
    </row>
    <row r="82">
      <c r="A82" s="32" t="n"/>
      <c r="B82" s="6" t="n"/>
      <c r="C82" s="6" t="n"/>
      <c r="D82" s="18" t="n"/>
      <c r="E82" s="18" t="n"/>
      <c r="F82" s="18" t="n"/>
      <c r="G82" s="18" t="n"/>
    </row>
    <row r="83">
      <c r="A83" s="29" t="n"/>
      <c r="B83" s="30" t="n"/>
      <c r="C83" s="30" t="n"/>
      <c r="D83" s="31" t="n"/>
      <c r="E83" s="31" t="n"/>
      <c r="F83" s="31" t="n"/>
      <c r="G83" s="31" t="n"/>
    </row>
    <row r="84">
      <c r="A84" s="32" t="n"/>
      <c r="B84" s="6" t="n"/>
      <c r="C84" s="6" t="n"/>
      <c r="D84" s="18" t="n"/>
      <c r="E84" s="18" t="n"/>
      <c r="F84" s="18" t="n"/>
      <c r="G84" s="18" t="n"/>
    </row>
    <row r="85">
      <c r="A85" s="29" t="n"/>
      <c r="B85" s="30" t="n"/>
      <c r="C85" s="30" t="n"/>
      <c r="D85" s="31" t="n"/>
      <c r="E85" s="31" t="n"/>
      <c r="F85" s="31" t="n"/>
      <c r="G85" s="31" t="n"/>
    </row>
    <row r="86">
      <c r="A86" s="32" t="n"/>
      <c r="B86" s="6" t="n"/>
      <c r="C86" s="6" t="n"/>
      <c r="D86" s="18" t="n"/>
      <c r="E86" s="18" t="n"/>
      <c r="F86" s="18" t="n"/>
      <c r="G86" s="18" t="n"/>
    </row>
    <row r="87">
      <c r="A87" s="29" t="n"/>
      <c r="B87" s="30" t="n"/>
      <c r="C87" s="30" t="n"/>
      <c r="D87" s="31" t="n"/>
      <c r="E87" s="31" t="n"/>
      <c r="F87" s="31" t="n"/>
      <c r="G87" s="31" t="n"/>
    </row>
    <row r="88">
      <c r="A88" s="32" t="n"/>
      <c r="B88" s="6" t="n"/>
      <c r="C88" s="6" t="n"/>
      <c r="D88" s="18" t="n"/>
      <c r="E88" s="18" t="n"/>
      <c r="F88" s="18" t="n"/>
      <c r="G88" s="18" t="n"/>
    </row>
    <row r="89">
      <c r="A89" s="29" t="n"/>
      <c r="B89" s="30" t="n"/>
      <c r="C89" s="30" t="n"/>
      <c r="D89" s="31" t="n"/>
      <c r="E89" s="31" t="n"/>
      <c r="F89" s="31" t="n"/>
      <c r="G89" s="31" t="n"/>
    </row>
    <row r="90">
      <c r="A90" s="32" t="n"/>
      <c r="B90" s="6" t="n"/>
      <c r="C90" s="6" t="n"/>
      <c r="D90" s="18" t="n"/>
      <c r="E90" s="18" t="n"/>
      <c r="F90" s="18" t="n"/>
      <c r="G90" s="18" t="n"/>
    </row>
    <row r="91">
      <c r="A91" s="29" t="n"/>
      <c r="B91" s="30" t="n"/>
      <c r="C91" s="30" t="n"/>
      <c r="D91" s="31" t="n"/>
      <c r="E91" s="31" t="n"/>
      <c r="F91" s="31" t="n"/>
      <c r="G91" s="31" t="n"/>
    </row>
    <row r="92">
      <c r="A92" s="32" t="n"/>
      <c r="B92" s="6" t="n"/>
      <c r="C92" s="6" t="n"/>
      <c r="D92" s="18" t="n"/>
      <c r="E92" s="18" t="n"/>
      <c r="F92" s="18" t="n"/>
      <c r="G92" s="18" t="n"/>
    </row>
    <row r="93">
      <c r="A93" s="29" t="n"/>
      <c r="B93" s="30" t="n"/>
      <c r="C93" s="30" t="n"/>
      <c r="D93" s="31" t="n"/>
      <c r="E93" s="31" t="n"/>
      <c r="F93" s="31" t="n"/>
      <c r="G93" s="31" t="n"/>
    </row>
    <row r="94">
      <c r="A94" s="32" t="n"/>
      <c r="B94" s="6" t="n"/>
      <c r="C94" s="6" t="n"/>
      <c r="D94" s="18" t="n"/>
      <c r="E94" s="18" t="n"/>
      <c r="F94" s="18" t="n"/>
      <c r="G94" s="18" t="n"/>
    </row>
    <row r="95">
      <c r="A95" s="29" t="n"/>
      <c r="B95" s="30" t="n"/>
      <c r="C95" s="30" t="n"/>
      <c r="D95" s="31" t="n"/>
      <c r="E95" s="31" t="n"/>
      <c r="F95" s="31" t="n"/>
      <c r="G95" s="31" t="n"/>
    </row>
    <row r="96">
      <c r="A96" s="32" t="n"/>
      <c r="B96" s="6" t="n"/>
      <c r="C96" s="6" t="n"/>
      <c r="D96" s="18" t="n"/>
      <c r="E96" s="18" t="n"/>
      <c r="F96" s="18" t="n"/>
      <c r="G96" s="18" t="n"/>
    </row>
    <row r="97">
      <c r="A97" s="29" t="n"/>
      <c r="B97" s="30" t="n"/>
      <c r="C97" s="30" t="n"/>
      <c r="D97" s="31" t="n"/>
      <c r="E97" s="31" t="n"/>
      <c r="F97" s="31" t="n"/>
      <c r="G97" s="31" t="n"/>
    </row>
    <row r="98">
      <c r="A98" s="32" t="n"/>
      <c r="B98" s="6" t="n"/>
      <c r="C98" s="6" t="n"/>
      <c r="D98" s="18" t="n"/>
      <c r="E98" s="18" t="n"/>
      <c r="F98" s="18" t="n"/>
      <c r="G98" s="18" t="n"/>
    </row>
    <row r="99">
      <c r="A99" s="29" t="n"/>
      <c r="B99" s="30" t="n"/>
      <c r="C99" s="30" t="n"/>
      <c r="D99" s="31" t="n"/>
      <c r="E99" s="31" t="n"/>
      <c r="F99" s="31" t="n"/>
      <c r="G99" s="31" t="n"/>
    </row>
    <row r="100">
      <c r="A100" s="32" t="n"/>
      <c r="B100" s="6" t="n"/>
      <c r="C100" s="6" t="n"/>
      <c r="D100" s="18" t="n"/>
      <c r="E100" s="18" t="n"/>
      <c r="F100" s="18" t="n"/>
      <c r="G100" s="18" t="n"/>
    </row>
    <row r="101">
      <c r="A101" s="29" t="n"/>
      <c r="B101" s="30" t="n"/>
      <c r="C101" s="30" t="n"/>
      <c r="D101" s="31" t="n"/>
      <c r="E101" s="31" t="n"/>
      <c r="F101" s="31" t="n"/>
      <c r="G101" s="31" t="n"/>
    </row>
    <row r="102">
      <c r="A102" s="32" t="n"/>
      <c r="B102" s="6" t="n"/>
      <c r="C102" s="6" t="n"/>
      <c r="D102" s="18" t="n"/>
      <c r="E102" s="18" t="n"/>
      <c r="F102" s="18" t="n"/>
      <c r="G102" s="18" t="n"/>
    </row>
    <row r="103">
      <c r="A103" s="29" t="n"/>
      <c r="B103" s="30" t="n"/>
      <c r="C103" s="30" t="n"/>
      <c r="D103" s="31" t="n"/>
      <c r="E103" s="31" t="n"/>
      <c r="F103" s="31" t="n"/>
      <c r="G103" s="31" t="n"/>
    </row>
    <row r="104">
      <c r="A104" s="32" t="n"/>
      <c r="B104" s="6" t="n"/>
      <c r="C104" s="6" t="n"/>
      <c r="D104" s="18" t="n"/>
      <c r="E104" s="18" t="n"/>
      <c r="F104" s="18" t="n"/>
      <c r="G104" s="18" t="n"/>
    </row>
    <row r="105">
      <c r="A105" s="29" t="n"/>
      <c r="B105" s="30" t="n"/>
      <c r="C105" s="30" t="n"/>
      <c r="D105" s="31" t="n"/>
      <c r="E105" s="31" t="n"/>
      <c r="F105" s="31" t="n"/>
      <c r="G105" s="31" t="n"/>
    </row>
    <row r="106">
      <c r="A106" s="32" t="n"/>
      <c r="B106" s="6" t="n"/>
      <c r="C106" s="6" t="n"/>
      <c r="D106" s="18" t="n"/>
      <c r="E106" s="18" t="n"/>
      <c r="F106" s="18" t="n"/>
      <c r="G106" s="18" t="n"/>
    </row>
    <row r="107">
      <c r="A107" s="29" t="n"/>
      <c r="B107" s="30" t="n"/>
      <c r="C107" s="30" t="n"/>
      <c r="D107" s="31" t="n"/>
      <c r="E107" s="31" t="n"/>
      <c r="F107" s="31" t="n"/>
      <c r="G107" s="31" t="n"/>
    </row>
    <row r="108">
      <c r="A108" s="32" t="n"/>
      <c r="B108" s="6" t="n"/>
      <c r="C108" s="6" t="n"/>
      <c r="D108" s="18" t="n"/>
      <c r="E108" s="18" t="n"/>
      <c r="F108" s="18" t="n"/>
      <c r="G108" s="18" t="n"/>
    </row>
    <row r="109">
      <c r="A109" s="29" t="n"/>
      <c r="B109" s="30" t="n"/>
      <c r="C109" s="30" t="n"/>
      <c r="D109" s="31" t="n"/>
      <c r="E109" s="31" t="n"/>
      <c r="F109" s="31" t="n"/>
      <c r="G109" s="31" t="n"/>
    </row>
    <row r="110">
      <c r="A110" s="32" t="n"/>
      <c r="B110" s="6" t="n"/>
      <c r="C110" s="6" t="n"/>
      <c r="D110" s="18" t="n"/>
      <c r="E110" s="18" t="n"/>
      <c r="F110" s="18" t="n"/>
      <c r="G110" s="18" t="n"/>
    </row>
    <row r="111">
      <c r="A111" s="29" t="n"/>
      <c r="B111" s="30" t="n"/>
      <c r="C111" s="30" t="n"/>
      <c r="D111" s="31" t="n"/>
      <c r="E111" s="31" t="n"/>
      <c r="F111" s="31" t="n"/>
      <c r="G111" s="31" t="n"/>
    </row>
    <row r="112">
      <c r="A112" s="32" t="n"/>
      <c r="B112" s="6" t="n"/>
      <c r="C112" s="6" t="n"/>
      <c r="D112" s="18" t="n"/>
      <c r="E112" s="18" t="n"/>
      <c r="F112" s="18" t="n"/>
      <c r="G112" s="18" t="n"/>
    </row>
    <row r="113">
      <c r="A113" s="29" t="n"/>
      <c r="B113" s="30" t="n"/>
      <c r="C113" s="30" t="n"/>
      <c r="D113" s="31" t="n"/>
      <c r="E113" s="31" t="n"/>
      <c r="F113" s="31" t="n"/>
      <c r="G113" s="31" t="n"/>
    </row>
    <row r="114">
      <c r="A114" s="32" t="n"/>
      <c r="B114" s="6" t="n"/>
      <c r="C114" s="6" t="n"/>
      <c r="D114" s="18" t="n"/>
      <c r="E114" s="18" t="n"/>
      <c r="F114" s="18" t="n"/>
      <c r="G114" s="18" t="n"/>
    </row>
    <row r="115">
      <c r="A115" s="29" t="n"/>
      <c r="B115" s="30" t="n"/>
      <c r="C115" s="30" t="n"/>
      <c r="D115" s="31" t="n"/>
      <c r="E115" s="31" t="n"/>
      <c r="F115" s="31" t="n"/>
      <c r="G115" s="31" t="n"/>
    </row>
    <row r="116">
      <c r="A116" s="32" t="n"/>
      <c r="B116" s="6" t="n"/>
      <c r="C116" s="6" t="n"/>
      <c r="D116" s="18" t="n"/>
      <c r="E116" s="18" t="n"/>
      <c r="F116" s="18" t="n"/>
      <c r="G116" s="18" t="n"/>
    </row>
    <row r="117">
      <c r="A117" s="29" t="n"/>
      <c r="B117" s="30" t="n"/>
      <c r="C117" s="30" t="n"/>
      <c r="D117" s="31" t="n"/>
      <c r="E117" s="31" t="n"/>
      <c r="F117" s="31" t="n"/>
      <c r="G117" s="31" t="n"/>
    </row>
    <row r="118">
      <c r="A118" s="32" t="n"/>
      <c r="B118" s="6" t="n"/>
      <c r="C118" s="6" t="n"/>
      <c r="D118" s="18" t="n"/>
      <c r="E118" s="18" t="n"/>
      <c r="F118" s="18" t="n"/>
      <c r="G118" s="18" t="n"/>
    </row>
    <row r="119">
      <c r="A119" s="29" t="n"/>
      <c r="B119" s="30" t="n"/>
      <c r="C119" s="30" t="n"/>
      <c r="D119" s="31" t="n"/>
      <c r="E119" s="31" t="n"/>
      <c r="F119" s="31" t="n"/>
      <c r="G119" s="31" t="n"/>
    </row>
    <row r="120">
      <c r="A120" s="32" t="n"/>
      <c r="B120" s="6" t="n"/>
      <c r="C120" s="6" t="n"/>
      <c r="D120" s="18" t="n"/>
      <c r="E120" s="18" t="n"/>
      <c r="F120" s="18" t="n"/>
      <c r="G120" s="18" t="n"/>
    </row>
    <row r="121">
      <c r="A121" s="29" t="n"/>
      <c r="B121" s="30" t="n"/>
      <c r="C121" s="30" t="n"/>
      <c r="D121" s="31" t="n"/>
      <c r="E121" s="31" t="n"/>
      <c r="F121" s="31" t="n"/>
      <c r="G121" s="31" t="n"/>
    </row>
    <row r="122">
      <c r="A122" s="32" t="n"/>
      <c r="B122" s="6" t="n"/>
      <c r="C122" s="6" t="n"/>
      <c r="D122" s="18" t="n"/>
      <c r="E122" s="18" t="n"/>
      <c r="F122" s="18" t="n"/>
      <c r="G122" s="18" t="n"/>
    </row>
    <row r="123">
      <c r="A123" s="29" t="n"/>
      <c r="B123" s="30" t="n"/>
      <c r="C123" s="30" t="n"/>
      <c r="D123" s="31" t="n"/>
      <c r="E123" s="31" t="n"/>
      <c r="F123" s="31" t="n"/>
      <c r="G123" s="31" t="n"/>
    </row>
    <row r="124">
      <c r="A124" s="32" t="n"/>
      <c r="B124" s="6" t="n"/>
      <c r="C124" s="6" t="n"/>
      <c r="D124" s="18" t="n"/>
      <c r="E124" s="18" t="n"/>
      <c r="F124" s="18" t="n"/>
      <c r="G124" s="18" t="n"/>
    </row>
    <row r="125">
      <c r="A125" s="29" t="n"/>
      <c r="B125" s="30" t="n"/>
      <c r="C125" s="30" t="n"/>
      <c r="D125" s="31" t="n"/>
      <c r="E125" s="31" t="n"/>
      <c r="F125" s="31" t="n"/>
      <c r="G125" s="31" t="n"/>
    </row>
    <row r="126">
      <c r="A126" s="32" t="n"/>
      <c r="B126" s="6" t="n"/>
      <c r="C126" s="6" t="n"/>
      <c r="D126" s="18" t="n"/>
      <c r="E126" s="18" t="n"/>
      <c r="F126" s="18" t="n"/>
      <c r="G126" s="18" t="n"/>
    </row>
    <row r="127">
      <c r="A127" s="29" t="n"/>
      <c r="B127" s="30" t="n"/>
      <c r="C127" s="30" t="n"/>
      <c r="D127" s="31" t="n"/>
      <c r="E127" s="31" t="n"/>
      <c r="F127" s="31" t="n"/>
      <c r="G127" s="31" t="n"/>
    </row>
    <row r="128">
      <c r="A128" s="32" t="n"/>
      <c r="B128" s="6" t="n"/>
      <c r="C128" s="6" t="n"/>
      <c r="D128" s="18" t="n"/>
      <c r="E128" s="18" t="n"/>
      <c r="F128" s="18" t="n"/>
      <c r="G128" s="18" t="n"/>
    </row>
    <row r="129">
      <c r="A129" s="29" t="n"/>
      <c r="B129" s="30" t="n"/>
      <c r="C129" s="30" t="n"/>
      <c r="D129" s="31" t="n"/>
      <c r="E129" s="31" t="n"/>
      <c r="F129" s="31" t="n"/>
      <c r="G129" s="31" t="n"/>
    </row>
    <row r="130">
      <c r="A130" s="32" t="n"/>
      <c r="B130" s="6" t="n"/>
      <c r="C130" s="6" t="n"/>
      <c r="D130" s="18" t="n"/>
      <c r="E130" s="18" t="n"/>
      <c r="F130" s="18" t="n"/>
      <c r="G130" s="18" t="n"/>
    </row>
    <row r="131">
      <c r="A131" s="29" t="n"/>
      <c r="B131" s="30" t="n"/>
      <c r="C131" s="30" t="n"/>
      <c r="D131" s="31" t="n"/>
      <c r="E131" s="31" t="n"/>
      <c r="F131" s="31" t="n"/>
      <c r="G131" s="31" t="n"/>
    </row>
    <row r="132">
      <c r="A132" s="32" t="n"/>
      <c r="B132" s="6" t="n"/>
      <c r="C132" s="6" t="n"/>
      <c r="D132" s="18" t="n"/>
      <c r="E132" s="18" t="n"/>
      <c r="F132" s="18" t="n"/>
      <c r="G132" s="18" t="n"/>
    </row>
    <row r="133">
      <c r="A133" s="29" t="n"/>
      <c r="B133" s="30" t="n"/>
      <c r="C133" s="30" t="n"/>
      <c r="D133" s="31" t="n"/>
      <c r="E133" s="31" t="n"/>
      <c r="F133" s="31" t="n"/>
      <c r="G133" s="31" t="n"/>
    </row>
    <row r="134">
      <c r="A134" s="32" t="n"/>
      <c r="B134" s="6" t="n"/>
      <c r="C134" s="6" t="n"/>
      <c r="D134" s="18" t="n"/>
      <c r="E134" s="18" t="n"/>
      <c r="F134" s="18" t="n"/>
      <c r="G134" s="18" t="n"/>
    </row>
    <row r="135">
      <c r="A135" s="29" t="n"/>
      <c r="B135" s="30" t="n"/>
      <c r="C135" s="30" t="n"/>
      <c r="D135" s="31" t="n"/>
      <c r="E135" s="31" t="n"/>
      <c r="F135" s="31" t="n"/>
      <c r="G135" s="31" t="n"/>
    </row>
    <row r="136">
      <c r="A136" s="32" t="n"/>
      <c r="B136" s="6" t="n"/>
      <c r="C136" s="6" t="n"/>
      <c r="D136" s="18" t="n"/>
      <c r="E136" s="18" t="n"/>
      <c r="F136" s="18" t="n"/>
      <c r="G136" s="18" t="n"/>
    </row>
    <row r="137">
      <c r="A137" s="29" t="n"/>
      <c r="B137" s="30" t="n"/>
      <c r="C137" s="30" t="n"/>
      <c r="D137" s="31" t="n"/>
      <c r="E137" s="31" t="n"/>
      <c r="F137" s="31" t="n"/>
      <c r="G137" s="31" t="n"/>
    </row>
    <row r="138">
      <c r="A138" s="32" t="n"/>
      <c r="B138" s="6" t="n"/>
      <c r="C138" s="6" t="n"/>
      <c r="D138" s="18" t="n"/>
      <c r="E138" s="18" t="n"/>
      <c r="F138" s="18" t="n"/>
      <c r="G138" s="18" t="n"/>
    </row>
    <row r="139">
      <c r="A139" s="29" t="n"/>
      <c r="B139" s="30" t="n"/>
      <c r="C139" s="30" t="n"/>
      <c r="D139" s="31" t="n"/>
      <c r="E139" s="31" t="n"/>
      <c r="F139" s="31" t="n"/>
      <c r="G139" s="31" t="n"/>
    </row>
    <row r="140">
      <c r="A140" s="32" t="n"/>
      <c r="B140" s="6" t="n"/>
      <c r="C140" s="6" t="n"/>
      <c r="D140" s="18" t="n"/>
      <c r="E140" s="18" t="n"/>
      <c r="F140" s="18" t="n"/>
      <c r="G140" s="18" t="n"/>
    </row>
    <row r="141">
      <c r="A141" s="29" t="n"/>
      <c r="B141" s="30" t="n"/>
      <c r="C141" s="30" t="n"/>
      <c r="D141" s="31" t="n"/>
      <c r="E141" s="31" t="n"/>
      <c r="F141" s="31" t="n"/>
      <c r="G141" s="31" t="n"/>
    </row>
    <row r="142">
      <c r="A142" s="32" t="n"/>
      <c r="B142" s="6" t="n"/>
      <c r="C142" s="6" t="n"/>
      <c r="D142" s="18" t="n"/>
      <c r="E142" s="18" t="n"/>
      <c r="F142" s="18" t="n"/>
      <c r="G142" s="18" t="n"/>
    </row>
    <row r="143">
      <c r="A143" s="29" t="n"/>
      <c r="B143" s="30" t="n"/>
      <c r="C143" s="30" t="n"/>
      <c r="D143" s="31" t="n"/>
      <c r="E143" s="31" t="n"/>
      <c r="F143" s="31" t="n"/>
      <c r="G143" s="31" t="n"/>
    </row>
    <row r="144">
      <c r="A144" s="32" t="n"/>
      <c r="B144" s="6" t="n"/>
      <c r="C144" s="6" t="n"/>
      <c r="D144" s="18" t="n"/>
      <c r="E144" s="18" t="n"/>
      <c r="F144" s="18" t="n"/>
      <c r="G144" s="18" t="n"/>
    </row>
    <row r="145">
      <c r="A145" s="29" t="n"/>
      <c r="B145" s="30" t="n"/>
      <c r="C145" s="30" t="n"/>
      <c r="D145" s="31" t="n"/>
      <c r="E145" s="31" t="n"/>
      <c r="F145" s="31" t="n"/>
      <c r="G145" s="31" t="n"/>
    </row>
    <row r="146">
      <c r="A146" s="32" t="n"/>
      <c r="B146" s="6" t="n"/>
      <c r="C146" s="6" t="n"/>
      <c r="D146" s="18" t="n"/>
      <c r="E146" s="18" t="n"/>
      <c r="F146" s="18" t="n"/>
      <c r="G146" s="18" t="n"/>
    </row>
    <row r="147">
      <c r="A147" s="29" t="n"/>
      <c r="B147" s="30" t="n"/>
      <c r="C147" s="30" t="n"/>
      <c r="D147" s="31" t="n"/>
      <c r="E147" s="31" t="n"/>
      <c r="F147" s="31" t="n"/>
      <c r="G147" s="31" t="n"/>
    </row>
    <row r="148">
      <c r="A148" s="32" t="n"/>
      <c r="B148" s="6" t="n"/>
      <c r="C148" s="6" t="n"/>
      <c r="D148" s="18" t="n"/>
      <c r="E148" s="18" t="n"/>
      <c r="F148" s="18" t="n"/>
      <c r="G148" s="18" t="n"/>
    </row>
    <row r="149">
      <c r="A149" s="29" t="n"/>
      <c r="B149" s="30" t="n"/>
      <c r="C149" s="30" t="n"/>
      <c r="D149" s="31" t="n"/>
      <c r="E149" s="31" t="n"/>
      <c r="F149" s="31" t="n"/>
      <c r="G149" s="31" t="n"/>
    </row>
    <row r="150">
      <c r="A150" s="32" t="n"/>
      <c r="B150" s="6" t="n"/>
      <c r="C150" s="6" t="n"/>
      <c r="D150" s="18" t="n"/>
      <c r="E150" s="18" t="n"/>
      <c r="F150" s="18" t="n"/>
      <c r="G150" s="18" t="n"/>
    </row>
    <row r="151">
      <c r="A151" s="29" t="n"/>
      <c r="B151" s="30" t="n"/>
      <c r="C151" s="30" t="n"/>
      <c r="D151" s="31" t="n"/>
      <c r="E151" s="31" t="n"/>
      <c r="F151" s="31" t="n"/>
      <c r="G151" s="31" t="n"/>
    </row>
    <row r="152">
      <c r="A152" s="32" t="n"/>
      <c r="B152" s="6" t="n"/>
      <c r="C152" s="6" t="n"/>
      <c r="D152" s="18" t="n"/>
      <c r="E152" s="18" t="n"/>
      <c r="F152" s="18" t="n"/>
      <c r="G152" s="18" t="n"/>
    </row>
    <row r="153">
      <c r="A153" s="29" t="n"/>
      <c r="B153" s="30" t="n"/>
      <c r="C153" s="30" t="n"/>
      <c r="D153" s="31" t="n"/>
      <c r="E153" s="31" t="n"/>
      <c r="F153" s="31" t="n"/>
      <c r="G153" s="31" t="n"/>
    </row>
    <row r="154">
      <c r="A154" s="32" t="n"/>
      <c r="B154" s="6" t="n"/>
      <c r="C154" s="6" t="n"/>
      <c r="D154" s="18" t="n"/>
      <c r="E154" s="18" t="n"/>
      <c r="F154" s="18" t="n"/>
      <c r="G154" s="18" t="n"/>
    </row>
    <row r="155">
      <c r="A155" s="29" t="n"/>
      <c r="B155" s="30" t="n"/>
      <c r="C155" s="30" t="n"/>
      <c r="D155" s="31" t="n"/>
      <c r="E155" s="31" t="n"/>
      <c r="F155" s="31" t="n"/>
      <c r="G155" s="31" t="n"/>
    </row>
    <row r="156">
      <c r="A156" s="32" t="n"/>
      <c r="B156" s="6" t="n"/>
      <c r="C156" s="6" t="n"/>
      <c r="D156" s="18" t="n"/>
      <c r="E156" s="18" t="n"/>
      <c r="F156" s="18" t="n"/>
      <c r="G156" s="18" t="n"/>
    </row>
    <row r="157">
      <c r="A157" s="29" t="n"/>
      <c r="B157" s="30" t="n"/>
      <c r="C157" s="30" t="n"/>
      <c r="D157" s="31" t="n"/>
      <c r="E157" s="31" t="n"/>
      <c r="F157" s="31" t="n"/>
      <c r="G157" s="31" t="n"/>
    </row>
    <row r="158">
      <c r="A158" s="32" t="n"/>
      <c r="B158" s="6" t="n"/>
      <c r="C158" s="6" t="n"/>
      <c r="D158" s="18" t="n"/>
      <c r="E158" s="18" t="n"/>
      <c r="F158" s="18" t="n"/>
      <c r="G158" s="18" t="n"/>
    </row>
    <row r="159">
      <c r="A159" s="29" t="n"/>
      <c r="B159" s="30" t="n"/>
      <c r="C159" s="30" t="n"/>
      <c r="D159" s="31" t="n"/>
      <c r="E159" s="31" t="n"/>
      <c r="F159" s="31" t="n"/>
      <c r="G159" s="31" t="n"/>
    </row>
    <row r="160">
      <c r="A160" s="32" t="n"/>
      <c r="B160" s="6" t="n"/>
      <c r="C160" s="6" t="n"/>
      <c r="D160" s="18" t="n"/>
      <c r="E160" s="18" t="n"/>
      <c r="F160" s="18" t="n"/>
      <c r="G160" s="18" t="n"/>
    </row>
    <row r="161">
      <c r="A161" s="29" t="n"/>
      <c r="B161" s="30" t="n"/>
      <c r="C161" s="30" t="n"/>
      <c r="D161" s="31" t="n"/>
      <c r="E161" s="31" t="n"/>
      <c r="F161" s="31" t="n"/>
      <c r="G161" s="31" t="n"/>
    </row>
    <row r="162">
      <c r="A162" s="32" t="n"/>
      <c r="B162" s="6" t="n"/>
      <c r="C162" s="6" t="n"/>
      <c r="D162" s="18" t="n"/>
      <c r="E162" s="18" t="n"/>
      <c r="F162" s="18" t="n"/>
      <c r="G162" s="18" t="n"/>
    </row>
    <row r="163">
      <c r="A163" s="29" t="n"/>
      <c r="B163" s="30" t="n"/>
      <c r="C163" s="30" t="n"/>
      <c r="D163" s="31" t="n"/>
      <c r="E163" s="31" t="n"/>
      <c r="F163" s="31" t="n"/>
      <c r="G163" s="31" t="n"/>
    </row>
    <row r="164">
      <c r="A164" s="32" t="n"/>
      <c r="B164" s="6" t="n"/>
      <c r="C164" s="6" t="n"/>
      <c r="D164" s="18" t="n"/>
      <c r="E164" s="18" t="n"/>
      <c r="F164" s="18" t="n"/>
      <c r="G164" s="18" t="n"/>
    </row>
    <row r="165">
      <c r="A165" s="29" t="n"/>
      <c r="B165" s="30" t="n"/>
      <c r="C165" s="30" t="n"/>
      <c r="D165" s="31" t="n"/>
      <c r="E165" s="31" t="n"/>
      <c r="F165" s="31" t="n"/>
      <c r="G165" s="31" t="n"/>
    </row>
    <row r="166">
      <c r="A166" s="32" t="n"/>
      <c r="B166" s="6" t="n"/>
      <c r="C166" s="6" t="n"/>
      <c r="D166" s="18" t="n"/>
      <c r="E166" s="18" t="n"/>
      <c r="F166" s="18" t="n"/>
      <c r="G166" s="18" t="n"/>
    </row>
    <row r="167">
      <c r="A167" s="29" t="n"/>
      <c r="B167" s="30" t="n"/>
      <c r="C167" s="30" t="n"/>
      <c r="D167" s="31" t="n"/>
      <c r="E167" s="31" t="n"/>
      <c r="F167" s="31" t="n"/>
      <c r="G167" s="31" t="n"/>
    </row>
    <row r="168">
      <c r="A168" s="32" t="n"/>
      <c r="B168" s="6" t="n"/>
      <c r="C168" s="6" t="n"/>
      <c r="D168" s="18" t="n"/>
      <c r="E168" s="18" t="n"/>
      <c r="F168" s="18" t="n"/>
      <c r="G168" s="18" t="n"/>
    </row>
    <row r="169">
      <c r="A169" s="29" t="n"/>
      <c r="B169" s="30" t="n"/>
      <c r="C169" s="30" t="n"/>
      <c r="D169" s="31" t="n"/>
      <c r="E169" s="31" t="n"/>
      <c r="F169" s="31" t="n"/>
      <c r="G169" s="31" t="n"/>
    </row>
    <row r="170">
      <c r="A170" s="32" t="n"/>
      <c r="B170" s="6" t="n"/>
      <c r="C170" s="6" t="n"/>
      <c r="D170" s="18" t="n"/>
      <c r="E170" s="18" t="n"/>
      <c r="F170" s="18" t="n"/>
      <c r="G170" s="18" t="n"/>
    </row>
    <row r="171">
      <c r="A171" s="29" t="n"/>
      <c r="B171" s="30" t="n"/>
      <c r="C171" s="30" t="n"/>
      <c r="D171" s="31" t="n"/>
      <c r="E171" s="31" t="n"/>
      <c r="F171" s="31" t="n"/>
      <c r="G171" s="31" t="n"/>
    </row>
    <row r="172">
      <c r="A172" s="32" t="n"/>
      <c r="B172" s="6" t="n"/>
      <c r="C172" s="6" t="n"/>
      <c r="D172" s="18" t="n"/>
      <c r="E172" s="18" t="n"/>
      <c r="F172" s="18" t="n"/>
      <c r="G172" s="18" t="n"/>
    </row>
    <row r="173">
      <c r="A173" s="29" t="n"/>
      <c r="B173" s="30" t="n"/>
      <c r="C173" s="30" t="n"/>
      <c r="D173" s="31" t="n"/>
      <c r="E173" s="31" t="n"/>
      <c r="F173" s="31" t="n"/>
      <c r="G173" s="31" t="n"/>
    </row>
    <row r="174">
      <c r="A174" s="32" t="n"/>
      <c r="B174" s="6" t="n"/>
      <c r="C174" s="6" t="n"/>
      <c r="D174" s="18" t="n"/>
      <c r="E174" s="18" t="n"/>
      <c r="F174" s="18" t="n"/>
      <c r="G174" s="18" t="n"/>
    </row>
    <row r="175">
      <c r="A175" s="29" t="n"/>
      <c r="B175" s="30" t="n"/>
      <c r="C175" s="30" t="n"/>
      <c r="D175" s="31" t="n"/>
      <c r="E175" s="31" t="n"/>
      <c r="F175" s="31" t="n"/>
      <c r="G175" s="31" t="n"/>
    </row>
    <row r="176">
      <c r="A176" s="32" t="n"/>
      <c r="B176" s="6" t="n"/>
      <c r="C176" s="6" t="n"/>
      <c r="D176" s="18" t="n"/>
      <c r="E176" s="18" t="n"/>
      <c r="F176" s="18" t="n"/>
      <c r="G176" s="18" t="n"/>
    </row>
    <row r="177">
      <c r="A177" s="29" t="n"/>
      <c r="B177" s="30" t="n"/>
      <c r="C177" s="30" t="n"/>
      <c r="D177" s="31" t="n"/>
      <c r="E177" s="31" t="n"/>
      <c r="F177" s="31" t="n"/>
      <c r="G177" s="31" t="n"/>
    </row>
    <row r="178">
      <c r="A178" s="32" t="n"/>
      <c r="B178" s="6" t="n"/>
      <c r="C178" s="6" t="n"/>
      <c r="D178" s="18" t="n"/>
      <c r="E178" s="18" t="n"/>
      <c r="F178" s="18" t="n"/>
      <c r="G178" s="18" t="n"/>
    </row>
    <row r="179">
      <c r="A179" s="29" t="n"/>
      <c r="B179" s="30" t="n"/>
      <c r="C179" s="30" t="n"/>
      <c r="D179" s="31" t="n"/>
      <c r="E179" s="31" t="n"/>
      <c r="F179" s="31" t="n"/>
      <c r="G179" s="31" t="n"/>
    </row>
    <row r="180">
      <c r="A180" s="32" t="n"/>
      <c r="B180" s="6" t="n"/>
      <c r="C180" s="6" t="n"/>
      <c r="D180" s="18" t="n"/>
      <c r="E180" s="18" t="n"/>
      <c r="F180" s="18" t="n"/>
      <c r="G180" s="18" t="n"/>
    </row>
    <row r="181">
      <c r="A181" s="29" t="n"/>
      <c r="B181" s="30" t="n"/>
      <c r="C181" s="30" t="n"/>
      <c r="D181" s="31" t="n"/>
      <c r="E181" s="31" t="n"/>
      <c r="F181" s="31" t="n"/>
      <c r="G181" s="31" t="n"/>
    </row>
    <row r="182">
      <c r="A182" s="32" t="n"/>
      <c r="B182" s="6" t="n"/>
      <c r="C182" s="6" t="n"/>
      <c r="D182" s="18" t="n"/>
      <c r="E182" s="18" t="n"/>
      <c r="F182" s="18" t="n"/>
      <c r="G182" s="18" t="n"/>
    </row>
    <row r="183">
      <c r="A183" s="29" t="n"/>
      <c r="B183" s="30" t="n"/>
      <c r="C183" s="30" t="n"/>
      <c r="D183" s="31" t="n"/>
      <c r="E183" s="31" t="n"/>
      <c r="F183" s="31" t="n"/>
      <c r="G183" s="31" t="n"/>
    </row>
    <row r="184">
      <c r="A184" s="32" t="n"/>
      <c r="B184" s="6" t="n"/>
      <c r="C184" s="6" t="n"/>
      <c r="D184" s="18" t="n"/>
      <c r="E184" s="18" t="n"/>
      <c r="F184" s="18" t="n"/>
      <c r="G184" s="18" t="n"/>
    </row>
    <row r="185">
      <c r="A185" s="29" t="n"/>
      <c r="B185" s="30" t="n"/>
      <c r="C185" s="30" t="n"/>
      <c r="D185" s="31" t="n"/>
      <c r="E185" s="31" t="n"/>
      <c r="F185" s="31" t="n"/>
      <c r="G185" s="31" t="n"/>
    </row>
    <row r="186">
      <c r="A186" s="32" t="n"/>
      <c r="B186" s="6" t="n"/>
      <c r="C186" s="6" t="n"/>
      <c r="D186" s="18" t="n"/>
      <c r="E186" s="18" t="n"/>
      <c r="F186" s="18" t="n"/>
      <c r="G186" s="18" t="n"/>
    </row>
    <row r="187">
      <c r="A187" s="29" t="n"/>
      <c r="B187" s="30" t="n"/>
      <c r="C187" s="30" t="n"/>
      <c r="D187" s="31" t="n"/>
      <c r="E187" s="31" t="n"/>
      <c r="F187" s="31" t="n"/>
      <c r="G187" s="31" t="n"/>
    </row>
    <row r="188">
      <c r="A188" s="32" t="n"/>
      <c r="B188" s="6" t="n"/>
      <c r="C188" s="6" t="n"/>
      <c r="D188" s="18" t="n"/>
      <c r="E188" s="18" t="n"/>
      <c r="F188" s="18" t="n"/>
      <c r="G188" s="18" t="n"/>
    </row>
    <row r="189">
      <c r="A189" s="29" t="n"/>
      <c r="B189" s="30" t="n"/>
      <c r="C189" s="30" t="n"/>
      <c r="D189" s="31" t="n"/>
      <c r="E189" s="31" t="n"/>
      <c r="F189" s="31" t="n"/>
      <c r="G189" s="31" t="n"/>
    </row>
    <row r="190">
      <c r="A190" s="32" t="n"/>
      <c r="B190" s="6" t="n"/>
      <c r="C190" s="6" t="n"/>
      <c r="D190" s="18" t="n"/>
      <c r="E190" s="18" t="n"/>
      <c r="F190" s="18" t="n"/>
      <c r="G190" s="18" t="n"/>
    </row>
    <row r="191">
      <c r="A191" s="29" t="n"/>
      <c r="B191" s="30" t="n"/>
      <c r="C191" s="30" t="n"/>
      <c r="D191" s="31" t="n"/>
      <c r="E191" s="31" t="n"/>
      <c r="F191" s="31" t="n"/>
      <c r="G191" s="31" t="n"/>
    </row>
    <row r="192">
      <c r="A192" s="32" t="n"/>
      <c r="B192" s="6" t="n"/>
      <c r="C192" s="6" t="n"/>
      <c r="D192" s="18" t="n"/>
      <c r="E192" s="18" t="n"/>
      <c r="F192" s="18" t="n"/>
      <c r="G192" s="18" t="n"/>
    </row>
    <row r="193">
      <c r="A193" s="29" t="n"/>
      <c r="B193" s="30" t="n"/>
      <c r="C193" s="30" t="n"/>
      <c r="D193" s="31" t="n"/>
      <c r="E193" s="31" t="n"/>
      <c r="F193" s="31" t="n"/>
      <c r="G193" s="31" t="n"/>
    </row>
    <row r="194">
      <c r="A194" s="32" t="n"/>
      <c r="B194" s="6" t="n"/>
      <c r="C194" s="6" t="n"/>
      <c r="D194" s="18" t="n"/>
      <c r="E194" s="18" t="n"/>
      <c r="F194" s="18" t="n"/>
      <c r="G194" s="18" t="n"/>
    </row>
    <row r="195">
      <c r="A195" s="29" t="n"/>
      <c r="B195" s="30" t="n"/>
      <c r="C195" s="30" t="n"/>
      <c r="D195" s="31" t="n"/>
      <c r="E195" s="31" t="n"/>
      <c r="F195" s="31" t="n"/>
      <c r="G195" s="31" t="n"/>
    </row>
    <row r="196">
      <c r="A196" s="32" t="n"/>
      <c r="B196" s="6" t="n"/>
      <c r="C196" s="6" t="n"/>
      <c r="D196" s="18" t="n"/>
      <c r="E196" s="18" t="n"/>
      <c r="F196" s="18" t="n"/>
      <c r="G196" s="18" t="n"/>
    </row>
    <row r="197">
      <c r="A197" s="29" t="n"/>
      <c r="B197" s="30" t="n"/>
      <c r="C197" s="30" t="n"/>
      <c r="D197" s="31" t="n"/>
      <c r="E197" s="31" t="n"/>
      <c r="F197" s="31" t="n"/>
      <c r="G197" s="31" t="n"/>
    </row>
    <row r="198">
      <c r="A198" s="32" t="n"/>
      <c r="B198" s="6" t="n"/>
      <c r="C198" s="6" t="n"/>
      <c r="D198" s="18" t="n"/>
      <c r="E198" s="18" t="n"/>
      <c r="F198" s="18" t="n"/>
      <c r="G198" s="18" t="n"/>
    </row>
    <row r="199">
      <c r="A199" s="29" t="n"/>
      <c r="B199" s="30" t="n"/>
      <c r="C199" s="30" t="n"/>
      <c r="D199" s="31" t="n"/>
      <c r="E199" s="31" t="n"/>
      <c r="F199" s="31" t="n"/>
      <c r="G199" s="31" t="n"/>
    </row>
    <row r="200">
      <c r="A200" s="32" t="n"/>
      <c r="B200" s="6" t="n"/>
      <c r="C200" s="6" t="n"/>
      <c r="D200" s="18" t="n"/>
      <c r="E200" s="18" t="n"/>
      <c r="F200" s="18" t="n"/>
      <c r="G200" s="18" t="n"/>
    </row>
    <row r="201">
      <c r="A201" s="29" t="n"/>
      <c r="B201" s="30" t="n"/>
      <c r="C201" s="30" t="n"/>
      <c r="D201" s="31" t="n"/>
      <c r="E201" s="31" t="n"/>
      <c r="F201" s="31" t="n"/>
      <c r="G201" s="31" t="n"/>
    </row>
    <row r="202">
      <c r="A202" s="32" t="n"/>
      <c r="B202" s="6" t="n"/>
      <c r="C202" s="6" t="n"/>
      <c r="D202" s="18" t="n"/>
      <c r="E202" s="18" t="n"/>
      <c r="F202" s="18" t="n"/>
      <c r="G202" s="18" t="n"/>
    </row>
    <row r="203">
      <c r="A203" s="29" t="n"/>
      <c r="B203" s="30" t="n"/>
      <c r="C203" s="30" t="n"/>
      <c r="D203" s="31" t="n"/>
      <c r="E203" s="31" t="n"/>
      <c r="F203" s="31" t="n"/>
      <c r="G203" s="31" t="n"/>
    </row>
    <row r="204">
      <c r="A204" s="32" t="n"/>
      <c r="B204" s="6" t="n"/>
      <c r="C204" s="6" t="n"/>
      <c r="D204" s="18" t="n"/>
      <c r="E204" s="18" t="n"/>
      <c r="F204" s="18" t="n"/>
      <c r="G204" s="18" t="n"/>
    </row>
    <row r="205">
      <c r="A205" s="29" t="n"/>
      <c r="B205" s="30" t="n"/>
      <c r="C205" s="30" t="n"/>
      <c r="D205" s="31" t="n"/>
      <c r="E205" s="31" t="n"/>
      <c r="F205" s="31" t="n"/>
      <c r="G205" s="31" t="n"/>
    </row>
    <row r="206">
      <c r="A206" s="32" t="n"/>
      <c r="B206" s="6" t="n"/>
      <c r="C206" s="6" t="n"/>
      <c r="D206" s="18" t="n"/>
      <c r="E206" s="18" t="n"/>
      <c r="F206" s="18" t="n"/>
      <c r="G206" s="18" t="n"/>
    </row>
    <row r="207">
      <c r="A207" s="29" t="n"/>
      <c r="B207" s="30" t="n"/>
      <c r="C207" s="30" t="n"/>
      <c r="D207" s="31" t="n"/>
      <c r="E207" s="31" t="n"/>
      <c r="F207" s="31" t="n"/>
      <c r="G207" s="31" t="n"/>
    </row>
    <row r="208">
      <c r="A208" s="32" t="n"/>
      <c r="B208" s="6" t="n"/>
      <c r="C208" s="6" t="n"/>
      <c r="D208" s="18" t="n"/>
      <c r="E208" s="18" t="n"/>
      <c r="F208" s="18" t="n"/>
      <c r="G208" s="18" t="n"/>
    </row>
    <row r="209">
      <c r="A209" s="29" t="n"/>
      <c r="B209" s="30" t="n"/>
      <c r="C209" s="30" t="n"/>
      <c r="D209" s="31" t="n"/>
      <c r="E209" s="31" t="n"/>
      <c r="F209" s="31" t="n"/>
      <c r="G209" s="31" t="n"/>
    </row>
    <row r="210">
      <c r="A210" s="32" t="n"/>
      <c r="B210" s="6" t="n"/>
      <c r="C210" s="6" t="n"/>
      <c r="D210" s="18" t="n"/>
      <c r="E210" s="18" t="n"/>
      <c r="F210" s="18" t="n"/>
      <c r="G210" s="18" t="n"/>
    </row>
    <row r="211">
      <c r="A211" s="29" t="n"/>
      <c r="B211" s="30" t="n"/>
      <c r="C211" s="30" t="n"/>
      <c r="D211" s="31" t="n"/>
      <c r="E211" s="31" t="n"/>
      <c r="F211" s="31" t="n"/>
      <c r="G211" s="31" t="n"/>
    </row>
    <row r="212">
      <c r="A212" s="32" t="n"/>
      <c r="B212" s="6" t="n"/>
      <c r="C212" s="6" t="n"/>
      <c r="D212" s="18" t="n"/>
      <c r="E212" s="18" t="n"/>
      <c r="F212" s="18" t="n"/>
      <c r="G212" s="18" t="n"/>
    </row>
    <row r="213">
      <c r="A213" s="29" t="n"/>
      <c r="B213" s="30" t="n"/>
      <c r="C213" s="30" t="n"/>
      <c r="D213" s="31" t="n"/>
      <c r="E213" s="31" t="n"/>
      <c r="F213" s="31" t="n"/>
      <c r="G213" s="31" t="n"/>
    </row>
    <row r="214">
      <c r="A214" s="32" t="n"/>
      <c r="B214" s="6" t="n"/>
      <c r="C214" s="6" t="n"/>
      <c r="D214" s="18" t="n"/>
      <c r="E214" s="18" t="n"/>
      <c r="F214" s="18" t="n"/>
      <c r="G214" s="18" t="n"/>
    </row>
    <row r="215">
      <c r="A215" s="29" t="n"/>
      <c r="B215" s="30" t="n"/>
      <c r="C215" s="30" t="n"/>
      <c r="D215" s="31" t="n"/>
      <c r="E215" s="31" t="n"/>
      <c r="F215" s="31" t="n"/>
      <c r="G215" s="31" t="n"/>
    </row>
    <row r="216">
      <c r="A216" s="32" t="n"/>
      <c r="B216" s="6" t="n"/>
      <c r="C216" s="6" t="n"/>
      <c r="D216" s="18" t="n"/>
      <c r="E216" s="18" t="n"/>
      <c r="F216" s="18" t="n"/>
      <c r="G216" s="18" t="n"/>
    </row>
    <row r="217">
      <c r="A217" s="29" t="n"/>
      <c r="B217" s="30" t="n"/>
      <c r="C217" s="30" t="n"/>
      <c r="D217" s="31" t="n"/>
      <c r="E217" s="31" t="n"/>
      <c r="F217" s="31" t="n"/>
      <c r="G217" s="31" t="n"/>
    </row>
    <row r="218">
      <c r="A218" s="32" t="n"/>
      <c r="B218" s="6" t="n"/>
      <c r="C218" s="6" t="n"/>
      <c r="D218" s="18" t="n"/>
      <c r="E218" s="18" t="n"/>
      <c r="F218" s="18" t="n"/>
      <c r="G218" s="18" t="n"/>
    </row>
    <row r="219">
      <c r="A219" s="29" t="n"/>
      <c r="B219" s="30" t="n"/>
      <c r="C219" s="30" t="n"/>
      <c r="D219" s="31" t="n"/>
      <c r="E219" s="31" t="n"/>
      <c r="F219" s="31" t="n"/>
      <c r="G219" s="31" t="n"/>
    </row>
    <row r="220">
      <c r="A220" s="32" t="n"/>
      <c r="B220" s="6" t="n"/>
      <c r="C220" s="6" t="n"/>
      <c r="D220" s="18" t="n"/>
      <c r="E220" s="18" t="n"/>
      <c r="F220" s="18" t="n"/>
      <c r="G220" s="18" t="n"/>
    </row>
    <row r="221">
      <c r="A221" s="29" t="n"/>
      <c r="B221" s="30" t="n"/>
      <c r="C221" s="30" t="n"/>
      <c r="D221" s="31" t="n"/>
      <c r="E221" s="31" t="n"/>
      <c r="F221" s="31" t="n"/>
      <c r="G221" s="31" t="n"/>
    </row>
    <row r="222">
      <c r="A222" s="32" t="n"/>
      <c r="B222" s="6" t="n"/>
      <c r="C222" s="6" t="n"/>
      <c r="D222" s="18" t="n"/>
      <c r="E222" s="18" t="n"/>
      <c r="F222" s="18" t="n"/>
      <c r="G222" s="18" t="n"/>
    </row>
    <row r="223">
      <c r="A223" s="29" t="n"/>
      <c r="B223" s="30" t="n"/>
      <c r="C223" s="30" t="n"/>
      <c r="D223" s="31" t="n"/>
      <c r="E223" s="31" t="n"/>
      <c r="F223" s="31" t="n"/>
      <c r="G223" s="31" t="n"/>
    </row>
    <row r="224">
      <c r="A224" s="32" t="n"/>
      <c r="B224" s="6" t="n"/>
      <c r="C224" s="6" t="n"/>
      <c r="D224" s="18" t="n"/>
      <c r="E224" s="18" t="n"/>
      <c r="F224" s="18" t="n"/>
      <c r="G224" s="18" t="n"/>
    </row>
    <row r="225">
      <c r="A225" s="29" t="n"/>
      <c r="B225" s="30" t="n"/>
      <c r="C225" s="30" t="n"/>
      <c r="D225" s="31" t="n"/>
      <c r="E225" s="31" t="n"/>
      <c r="F225" s="31" t="n"/>
      <c r="G225" s="31" t="n"/>
    </row>
    <row r="226">
      <c r="A226" s="32" t="n"/>
      <c r="B226" s="6" t="n"/>
      <c r="C226" s="6" t="n"/>
      <c r="D226" s="18" t="n"/>
      <c r="E226" s="18" t="n"/>
      <c r="F226" s="18" t="n"/>
      <c r="G226" s="18" t="n"/>
    </row>
    <row r="227">
      <c r="A227" s="29" t="n"/>
      <c r="B227" s="30" t="n"/>
      <c r="C227" s="30" t="n"/>
      <c r="D227" s="31" t="n"/>
      <c r="E227" s="31" t="n"/>
      <c r="F227" s="31" t="n"/>
      <c r="G227" s="31" t="n"/>
    </row>
    <row r="228">
      <c r="A228" s="32" t="n"/>
      <c r="B228" s="6" t="n"/>
      <c r="C228" s="6" t="n"/>
      <c r="D228" s="18" t="n"/>
      <c r="E228" s="18" t="n"/>
      <c r="F228" s="18" t="n"/>
      <c r="G228" s="18" t="n"/>
    </row>
    <row r="229">
      <c r="A229" s="29" t="n"/>
      <c r="B229" s="30" t="n"/>
      <c r="C229" s="30" t="n"/>
      <c r="D229" s="31" t="n"/>
      <c r="E229" s="31" t="n"/>
      <c r="F229" s="31" t="n"/>
      <c r="G229" s="31" t="n"/>
    </row>
    <row r="230">
      <c r="A230" s="32" t="n"/>
      <c r="B230" s="6" t="n"/>
      <c r="C230" s="6" t="n"/>
      <c r="D230" s="18" t="n"/>
      <c r="E230" s="18" t="n"/>
      <c r="F230" s="18" t="n"/>
      <c r="G230" s="18" t="n"/>
    </row>
    <row r="231">
      <c r="A231" s="29" t="n"/>
      <c r="B231" s="30" t="n"/>
      <c r="C231" s="30" t="n"/>
      <c r="D231" s="31" t="n"/>
      <c r="E231" s="31" t="n"/>
      <c r="F231" s="31" t="n"/>
      <c r="G231" s="31" t="n"/>
    </row>
    <row r="232">
      <c r="A232" s="32" t="n"/>
      <c r="B232" s="6" t="n"/>
      <c r="C232" s="6" t="n"/>
      <c r="D232" s="18" t="n"/>
      <c r="E232" s="18" t="n"/>
      <c r="F232" s="18" t="n"/>
      <c r="G232" s="18" t="n"/>
    </row>
    <row r="233">
      <c r="A233" s="29" t="n"/>
      <c r="B233" s="30" t="n"/>
      <c r="C233" s="30" t="n"/>
      <c r="D233" s="31" t="n"/>
      <c r="E233" s="31" t="n"/>
      <c r="F233" s="31" t="n"/>
      <c r="G233" s="31" t="n"/>
    </row>
    <row r="234">
      <c r="A234" s="32" t="n"/>
      <c r="B234" s="6" t="n"/>
      <c r="C234" s="6" t="n"/>
      <c r="D234" s="18" t="n"/>
      <c r="E234" s="18" t="n"/>
      <c r="F234" s="18" t="n"/>
      <c r="G234" s="18" t="n"/>
    </row>
    <row r="235">
      <c r="A235" s="29" t="n"/>
      <c r="B235" s="30" t="n"/>
      <c r="C235" s="30" t="n"/>
      <c r="D235" s="31" t="n"/>
      <c r="E235" s="31" t="n"/>
      <c r="F235" s="31" t="n"/>
      <c r="G235" s="31" t="n"/>
    </row>
    <row r="236">
      <c r="A236" s="32" t="n"/>
      <c r="B236" s="6" t="n"/>
      <c r="C236" s="6" t="n"/>
      <c r="D236" s="18" t="n"/>
      <c r="E236" s="18" t="n"/>
      <c r="F236" s="18" t="n"/>
      <c r="G236" s="18" t="n"/>
    </row>
    <row r="237">
      <c r="A237" s="29" t="n"/>
      <c r="B237" s="30" t="n"/>
      <c r="C237" s="30" t="n"/>
      <c r="D237" s="31" t="n"/>
      <c r="E237" s="31" t="n"/>
      <c r="F237" s="31" t="n"/>
      <c r="G237" s="31" t="n"/>
    </row>
    <row r="238">
      <c r="A238" s="32" t="n"/>
      <c r="B238" s="6" t="n"/>
      <c r="C238" s="6" t="n"/>
      <c r="D238" s="18" t="n"/>
      <c r="E238" s="18" t="n"/>
      <c r="F238" s="18" t="n"/>
      <c r="G238" s="18" t="n"/>
    </row>
    <row r="239">
      <c r="A239" s="29" t="n"/>
      <c r="B239" s="30" t="n"/>
      <c r="C239" s="30" t="n"/>
      <c r="D239" s="31" t="n"/>
      <c r="E239" s="31" t="n"/>
      <c r="F239" s="31" t="n"/>
      <c r="G239" s="31" t="n"/>
    </row>
    <row r="240">
      <c r="A240" s="32" t="n"/>
      <c r="B240" s="6" t="n"/>
      <c r="C240" s="6" t="n"/>
      <c r="D240" s="18" t="n"/>
      <c r="E240" s="18" t="n"/>
      <c r="F240" s="18" t="n"/>
      <c r="G240" s="18" t="n"/>
    </row>
    <row r="241">
      <c r="A241" s="29" t="n"/>
      <c r="B241" s="30" t="n"/>
      <c r="C241" s="30" t="n"/>
      <c r="D241" s="31" t="n"/>
      <c r="E241" s="31" t="n"/>
      <c r="F241" s="31" t="n"/>
      <c r="G241" s="31" t="n"/>
    </row>
    <row r="242">
      <c r="A242" s="32" t="n"/>
      <c r="B242" s="6" t="n"/>
      <c r="C242" s="6" t="n"/>
      <c r="D242" s="18" t="n"/>
      <c r="E242" s="18" t="n"/>
      <c r="F242" s="18" t="n"/>
      <c r="G242" s="18" t="n"/>
    </row>
    <row r="243">
      <c r="A243" s="29" t="n"/>
      <c r="B243" s="30" t="n"/>
      <c r="C243" s="30" t="n"/>
      <c r="D243" s="31" t="n"/>
      <c r="E243" s="31" t="n"/>
      <c r="F243" s="31" t="n"/>
      <c r="G243" s="31" t="n"/>
    </row>
    <row r="244">
      <c r="A244" s="32" t="n"/>
      <c r="B244" s="6" t="n"/>
      <c r="C244" s="6" t="n"/>
      <c r="D244" s="18" t="n"/>
      <c r="E244" s="18" t="n"/>
      <c r="F244" s="18" t="n"/>
      <c r="G244" s="18" t="n"/>
    </row>
    <row r="245">
      <c r="A245" s="29" t="n"/>
      <c r="B245" s="30" t="n"/>
      <c r="C245" s="30" t="n"/>
      <c r="D245" s="31" t="n"/>
      <c r="E245" s="31" t="n"/>
      <c r="F245" s="31" t="n"/>
      <c r="G245" s="31" t="n"/>
    </row>
    <row r="246">
      <c r="A246" s="32" t="n"/>
      <c r="B246" s="6" t="n"/>
      <c r="C246" s="6" t="n"/>
      <c r="D246" s="18" t="n"/>
      <c r="E246" s="18" t="n"/>
      <c r="F246" s="18" t="n"/>
      <c r="G246" s="18" t="n"/>
    </row>
    <row r="247">
      <c r="A247" s="29" t="n"/>
      <c r="B247" s="30" t="n"/>
      <c r="C247" s="30" t="n"/>
      <c r="D247" s="31" t="n"/>
      <c r="E247" s="31" t="n"/>
      <c r="F247" s="31" t="n"/>
      <c r="G247" s="31" t="n"/>
    </row>
    <row r="248">
      <c r="A248" s="32" t="n"/>
      <c r="B248" s="6" t="n"/>
      <c r="C248" s="6" t="n"/>
      <c r="D248" s="18" t="n"/>
      <c r="E248" s="18" t="n"/>
      <c r="F248" s="18" t="n"/>
      <c r="G248" s="18" t="n"/>
    </row>
    <row r="249">
      <c r="A249" s="29" t="n"/>
      <c r="B249" s="30" t="n"/>
      <c r="C249" s="30" t="n"/>
      <c r="D249" s="31" t="n"/>
      <c r="E249" s="31" t="n"/>
      <c r="F249" s="31" t="n"/>
      <c r="G249" s="31" t="n"/>
    </row>
    <row r="250">
      <c r="A250" s="32" t="n"/>
      <c r="B250" s="6" t="n"/>
      <c r="C250" s="6" t="n"/>
      <c r="D250" s="18" t="n"/>
      <c r="E250" s="18" t="n"/>
      <c r="F250" s="18" t="n"/>
      <c r="G250" s="18" t="n"/>
    </row>
    <row r="251">
      <c r="A251" s="29" t="n"/>
      <c r="B251" s="30" t="n"/>
      <c r="C251" s="30" t="n"/>
      <c r="D251" s="31" t="n"/>
      <c r="E251" s="31" t="n"/>
      <c r="F251" s="31" t="n"/>
      <c r="G251" s="31" t="n"/>
    </row>
    <row r="252">
      <c r="A252" s="32" t="n"/>
      <c r="B252" s="6" t="n"/>
      <c r="C252" s="6" t="n"/>
      <c r="D252" s="18" t="n"/>
      <c r="E252" s="18" t="n"/>
      <c r="F252" s="18" t="n"/>
      <c r="G252" s="18" t="n"/>
    </row>
    <row r="253">
      <c r="A253" s="29" t="n"/>
      <c r="B253" s="30" t="n"/>
      <c r="C253" s="30" t="n"/>
      <c r="D253" s="31" t="n"/>
      <c r="E253" s="31" t="n"/>
      <c r="F253" s="31" t="n"/>
      <c r="G253" s="31" t="n"/>
    </row>
    <row r="254">
      <c r="A254" s="32" t="n"/>
      <c r="B254" s="6" t="n"/>
      <c r="C254" s="6" t="n"/>
      <c r="D254" s="18" t="n"/>
      <c r="E254" s="18" t="n"/>
      <c r="F254" s="18" t="n"/>
      <c r="G254" s="18" t="n"/>
    </row>
    <row r="255">
      <c r="A255" s="29" t="n"/>
      <c r="B255" s="30" t="n"/>
      <c r="C255" s="30" t="n"/>
      <c r="D255" s="31" t="n"/>
      <c r="E255" s="31" t="n"/>
      <c r="F255" s="31" t="n"/>
      <c r="G255" s="31" t="n"/>
    </row>
    <row r="256">
      <c r="A256" s="32" t="n"/>
      <c r="B256" s="6" t="n"/>
      <c r="C256" s="6" t="n"/>
      <c r="D256" s="18" t="n"/>
      <c r="E256" s="18" t="n"/>
      <c r="F256" s="18" t="n"/>
      <c r="G256" s="18" t="n"/>
    </row>
    <row r="257">
      <c r="A257" s="29" t="n"/>
      <c r="B257" s="30" t="n"/>
      <c r="C257" s="30" t="n"/>
      <c r="D257" s="31" t="n"/>
      <c r="E257" s="31" t="n"/>
      <c r="F257" s="31" t="n"/>
      <c r="G257" s="31" t="n"/>
    </row>
    <row r="258">
      <c r="A258" s="32" t="n"/>
      <c r="B258" s="6" t="n"/>
      <c r="C258" s="6" t="n"/>
      <c r="D258" s="18" t="n"/>
      <c r="E258" s="18" t="n"/>
      <c r="F258" s="18" t="n"/>
      <c r="G258" s="18" t="n"/>
    </row>
    <row r="259">
      <c r="A259" s="29" t="n"/>
      <c r="B259" s="30" t="n"/>
      <c r="C259" s="30" t="n"/>
      <c r="D259" s="31" t="n"/>
      <c r="E259" s="31" t="n"/>
      <c r="F259" s="31" t="n"/>
      <c r="G259" s="31" t="n"/>
    </row>
    <row r="260">
      <c r="A260" s="32" t="n"/>
      <c r="B260" s="6" t="n"/>
      <c r="C260" s="6" t="n"/>
      <c r="D260" s="18" t="n"/>
      <c r="E260" s="18" t="n"/>
      <c r="F260" s="18" t="n"/>
      <c r="G260" s="18" t="n"/>
    </row>
    <row r="261">
      <c r="A261" s="29" t="n"/>
      <c r="B261" s="30" t="n"/>
      <c r="C261" s="30" t="n"/>
      <c r="D261" s="31" t="n"/>
      <c r="E261" s="31" t="n"/>
      <c r="F261" s="31" t="n"/>
      <c r="G261" s="31" t="n"/>
    </row>
    <row r="262">
      <c r="A262" s="32" t="n"/>
      <c r="B262" s="6" t="n"/>
      <c r="C262" s="6" t="n"/>
      <c r="D262" s="18" t="n"/>
      <c r="E262" s="18" t="n"/>
      <c r="F262" s="18" t="n"/>
      <c r="G262" s="18" t="n"/>
    </row>
    <row r="263">
      <c r="A263" s="29" t="n"/>
      <c r="B263" s="30" t="n"/>
      <c r="C263" s="30" t="n"/>
      <c r="D263" s="31" t="n"/>
      <c r="E263" s="31" t="n"/>
      <c r="F263" s="31" t="n"/>
      <c r="G263" s="31" t="n"/>
    </row>
    <row r="264">
      <c r="A264" s="32" t="n"/>
      <c r="B264" s="6" t="n"/>
      <c r="C264" s="6" t="n"/>
      <c r="D264" s="18" t="n"/>
      <c r="E264" s="18" t="n"/>
      <c r="F264" s="18" t="n"/>
      <c r="G264" s="18" t="n"/>
    </row>
    <row r="265">
      <c r="A265" s="29" t="n"/>
      <c r="B265" s="30" t="n"/>
      <c r="C265" s="30" t="n"/>
      <c r="D265" s="31" t="n"/>
      <c r="E265" s="31" t="n"/>
      <c r="F265" s="31" t="n"/>
      <c r="G265" s="31" t="n"/>
    </row>
    <row r="266">
      <c r="A266" s="32" t="n"/>
      <c r="B266" s="6" t="n"/>
      <c r="C266" s="6" t="n"/>
      <c r="D266" s="18" t="n"/>
      <c r="E266" s="18" t="n"/>
      <c r="F266" s="18" t="n"/>
      <c r="G266" s="18" t="n"/>
    </row>
    <row r="267">
      <c r="A267" s="29" t="n"/>
      <c r="B267" s="30" t="n"/>
      <c r="C267" s="30" t="n"/>
      <c r="D267" s="31" t="n"/>
      <c r="E267" s="31" t="n"/>
      <c r="F267" s="31" t="n"/>
      <c r="G267" s="31" t="n"/>
    </row>
    <row r="268">
      <c r="A268" s="32" t="n"/>
      <c r="B268" s="6" t="n"/>
      <c r="C268" s="6" t="n"/>
      <c r="D268" s="18" t="n"/>
      <c r="E268" s="18" t="n"/>
      <c r="F268" s="18" t="n"/>
      <c r="G268" s="18" t="n"/>
    </row>
    <row r="269">
      <c r="A269" s="29" t="n"/>
      <c r="B269" s="30" t="n"/>
      <c r="C269" s="30" t="n"/>
      <c r="D269" s="31" t="n"/>
      <c r="E269" s="31" t="n"/>
      <c r="F269" s="31" t="n"/>
      <c r="G269" s="31" t="n"/>
    </row>
    <row r="270">
      <c r="A270" s="32" t="n"/>
      <c r="B270" s="6" t="n"/>
      <c r="C270" s="6" t="n"/>
      <c r="D270" s="18" t="n"/>
      <c r="E270" s="18" t="n"/>
      <c r="F270" s="18" t="n"/>
      <c r="G270" s="18" t="n"/>
    </row>
    <row r="271">
      <c r="A271" s="29" t="n"/>
      <c r="B271" s="30" t="n"/>
      <c r="C271" s="30" t="n"/>
      <c r="D271" s="31" t="n"/>
      <c r="E271" s="31" t="n"/>
      <c r="F271" s="31" t="n"/>
      <c r="G271" s="31" t="n"/>
    </row>
    <row r="272">
      <c r="A272" s="32" t="n"/>
      <c r="B272" s="6" t="n"/>
      <c r="C272" s="6" t="n"/>
      <c r="D272" s="18" t="n"/>
      <c r="E272" s="18" t="n"/>
      <c r="F272" s="18" t="n"/>
      <c r="G272" s="18" t="n"/>
    </row>
    <row r="273">
      <c r="A273" s="29" t="n"/>
      <c r="B273" s="30" t="n"/>
      <c r="C273" s="30" t="n"/>
      <c r="D273" s="31" t="n"/>
      <c r="E273" s="31" t="n"/>
      <c r="F273" s="31" t="n"/>
      <c r="G273" s="31" t="n"/>
    </row>
    <row r="274">
      <c r="A274" s="32" t="n"/>
      <c r="B274" s="6" t="n"/>
      <c r="C274" s="6" t="n"/>
      <c r="D274" s="18" t="n"/>
      <c r="E274" s="18" t="n"/>
      <c r="F274" s="18" t="n"/>
      <c r="G274" s="18" t="n"/>
    </row>
    <row r="275">
      <c r="A275" s="29" t="n"/>
      <c r="B275" s="30" t="n"/>
      <c r="C275" s="30" t="n"/>
      <c r="D275" s="31" t="n"/>
      <c r="E275" s="31" t="n"/>
      <c r="F275" s="31" t="n"/>
      <c r="G275" s="31" t="n"/>
    </row>
    <row r="276">
      <c r="A276" s="32" t="n"/>
      <c r="B276" s="6" t="n"/>
      <c r="C276" s="6" t="n"/>
      <c r="D276" s="18" t="n"/>
      <c r="E276" s="18" t="n"/>
      <c r="F276" s="18" t="n"/>
      <c r="G276" s="18" t="n"/>
    </row>
    <row r="277">
      <c r="A277" s="29" t="n"/>
      <c r="B277" s="30" t="n"/>
      <c r="C277" s="30" t="n"/>
      <c r="D277" s="31" t="n"/>
      <c r="E277" s="31" t="n"/>
      <c r="F277" s="31" t="n"/>
      <c r="G277" s="31" t="n"/>
    </row>
    <row r="278">
      <c r="A278" s="32" t="n"/>
      <c r="B278" s="6" t="n"/>
      <c r="C278" s="6" t="n"/>
      <c r="D278" s="18" t="n"/>
      <c r="E278" s="18" t="n"/>
      <c r="F278" s="18" t="n"/>
      <c r="G278" s="18" t="n"/>
    </row>
    <row r="279">
      <c r="A279" s="29" t="n"/>
      <c r="B279" s="30" t="n"/>
      <c r="C279" s="30" t="n"/>
      <c r="D279" s="31" t="n"/>
      <c r="E279" s="31" t="n"/>
      <c r="F279" s="31" t="n"/>
      <c r="G279" s="31" t="n"/>
    </row>
    <row r="280">
      <c r="A280" s="32" t="n"/>
      <c r="B280" s="6" t="n"/>
      <c r="C280" s="6" t="n"/>
      <c r="D280" s="18" t="n"/>
      <c r="E280" s="18" t="n"/>
      <c r="F280" s="18" t="n"/>
      <c r="G280" s="18" t="n"/>
    </row>
    <row r="281">
      <c r="A281" s="29" t="n"/>
      <c r="B281" s="30" t="n"/>
      <c r="C281" s="30" t="n"/>
      <c r="D281" s="31" t="n"/>
      <c r="E281" s="31" t="n"/>
      <c r="F281" s="31" t="n"/>
      <c r="G281" s="31" t="n"/>
    </row>
    <row r="282">
      <c r="A282" s="32" t="n"/>
      <c r="B282" s="6" t="n"/>
      <c r="C282" s="6" t="n"/>
      <c r="D282" s="18" t="n"/>
      <c r="E282" s="18" t="n"/>
      <c r="F282" s="18" t="n"/>
      <c r="G282" s="18" t="n"/>
    </row>
    <row r="283">
      <c r="A283" s="29" t="n"/>
      <c r="B283" s="30" t="n"/>
      <c r="C283" s="30" t="n"/>
      <c r="D283" s="31" t="n"/>
      <c r="E283" s="31" t="n"/>
      <c r="F283" s="31" t="n"/>
      <c r="G283" s="31" t="n"/>
    </row>
    <row r="284">
      <c r="A284" s="32" t="n"/>
      <c r="B284" s="6" t="n"/>
      <c r="C284" s="6" t="n"/>
      <c r="D284" s="18" t="n"/>
      <c r="E284" s="18" t="n"/>
      <c r="F284" s="18" t="n"/>
      <c r="G284" s="18" t="n"/>
    </row>
    <row r="285">
      <c r="A285" s="29" t="n"/>
      <c r="B285" s="30" t="n"/>
      <c r="C285" s="30" t="n"/>
      <c r="D285" s="31" t="n"/>
      <c r="E285" s="31" t="n"/>
      <c r="F285" s="31" t="n"/>
      <c r="G285" s="31" t="n"/>
    </row>
    <row r="286">
      <c r="A286" s="32" t="n"/>
      <c r="B286" s="6" t="n"/>
      <c r="C286" s="6" t="n"/>
      <c r="D286" s="18" t="n"/>
      <c r="E286" s="18" t="n"/>
      <c r="F286" s="18" t="n"/>
      <c r="G286" s="18" t="n"/>
    </row>
    <row r="287">
      <c r="A287" s="29" t="n"/>
      <c r="B287" s="30" t="n"/>
      <c r="C287" s="30" t="n"/>
      <c r="D287" s="31" t="n"/>
      <c r="E287" s="31" t="n"/>
      <c r="F287" s="31" t="n"/>
      <c r="G287" s="31" t="n"/>
    </row>
    <row r="288">
      <c r="A288" s="32" t="n"/>
      <c r="B288" s="6" t="n"/>
      <c r="C288" s="6" t="n"/>
      <c r="D288" s="18" t="n"/>
      <c r="E288" s="18" t="n"/>
      <c r="F288" s="18" t="n"/>
      <c r="G288" s="18" t="n"/>
    </row>
    <row r="289">
      <c r="A289" s="29" t="n"/>
      <c r="B289" s="30" t="n"/>
      <c r="C289" s="30" t="n"/>
      <c r="D289" s="31" t="n"/>
      <c r="E289" s="31" t="n"/>
      <c r="F289" s="31" t="n"/>
      <c r="G289" s="31" t="n"/>
    </row>
    <row r="290">
      <c r="A290" s="32" t="n"/>
      <c r="B290" s="6" t="n"/>
      <c r="C290" s="6" t="n"/>
      <c r="D290" s="18" t="n"/>
      <c r="E290" s="18" t="n"/>
      <c r="F290" s="18" t="n"/>
      <c r="G290" s="18" t="n"/>
    </row>
    <row r="291">
      <c r="A291" s="29" t="n"/>
      <c r="B291" s="30" t="n"/>
      <c r="C291" s="30" t="n"/>
      <c r="D291" s="31" t="n"/>
      <c r="E291" s="31" t="n"/>
      <c r="F291" s="31" t="n"/>
      <c r="G291" s="31" t="n"/>
    </row>
    <row r="292">
      <c r="A292" s="32" t="n"/>
      <c r="B292" s="6" t="n"/>
      <c r="C292" s="6" t="n"/>
      <c r="D292" s="18" t="n"/>
      <c r="E292" s="18" t="n"/>
      <c r="F292" s="18" t="n"/>
      <c r="G292" s="18" t="n"/>
    </row>
    <row r="293">
      <c r="A293" s="29" t="n"/>
      <c r="B293" s="30" t="n"/>
      <c r="C293" s="30" t="n"/>
      <c r="D293" s="31" t="n"/>
      <c r="E293" s="31" t="n"/>
      <c r="F293" s="31" t="n"/>
      <c r="G293" s="31" t="n"/>
    </row>
    <row r="294">
      <c r="A294" s="32" t="n"/>
      <c r="B294" s="6" t="n"/>
      <c r="C294" s="6" t="n"/>
      <c r="D294" s="18" t="n"/>
      <c r="E294" s="18" t="n"/>
      <c r="F294" s="18" t="n"/>
      <c r="G294" s="18" t="n"/>
    </row>
    <row r="295">
      <c r="A295" s="29" t="n"/>
      <c r="B295" s="30" t="n"/>
      <c r="C295" s="30" t="n"/>
      <c r="D295" s="31" t="n"/>
      <c r="E295" s="31" t="n"/>
      <c r="F295" s="31" t="n"/>
      <c r="G295" s="31" t="n"/>
    </row>
    <row r="296">
      <c r="A296" s="32" t="n"/>
      <c r="B296" s="6" t="n"/>
      <c r="C296" s="6" t="n"/>
      <c r="D296" s="18" t="n"/>
      <c r="E296" s="18" t="n"/>
      <c r="F296" s="18" t="n"/>
      <c r="G296" s="18" t="n"/>
    </row>
    <row r="297">
      <c r="A297" s="29" t="n"/>
      <c r="B297" s="30" t="n"/>
      <c r="C297" s="30" t="n"/>
      <c r="D297" s="31" t="n"/>
      <c r="E297" s="31" t="n"/>
      <c r="F297" s="31" t="n"/>
      <c r="G297" s="31" t="n"/>
    </row>
    <row r="298">
      <c r="A298" s="32" t="n"/>
      <c r="B298" s="6" t="n"/>
      <c r="C298" s="6" t="n"/>
      <c r="D298" s="18" t="n"/>
      <c r="E298" s="18" t="n"/>
      <c r="F298" s="18" t="n"/>
      <c r="G298" s="18" t="n"/>
    </row>
    <row r="299">
      <c r="A299" s="29" t="n"/>
      <c r="B299" s="30" t="n"/>
      <c r="C299" s="30" t="n"/>
      <c r="D299" s="31" t="n"/>
      <c r="E299" s="31" t="n"/>
      <c r="F299" s="31" t="n"/>
      <c r="G299" s="31" t="n"/>
    </row>
    <row r="300">
      <c r="A300" s="32" t="n"/>
      <c r="B300" s="6" t="n"/>
      <c r="C300" s="6" t="n"/>
      <c r="D300" s="18" t="n"/>
      <c r="E300" s="18" t="n"/>
      <c r="F300" s="18" t="n"/>
      <c r="G300" s="18" t="n"/>
    </row>
    <row r="301">
      <c r="A301" s="29" t="n"/>
      <c r="B301" s="30" t="n"/>
      <c r="C301" s="30" t="n"/>
      <c r="D301" s="31" t="n"/>
      <c r="E301" s="31" t="n"/>
      <c r="F301" s="31" t="n"/>
      <c r="G301" s="31" t="n"/>
    </row>
    <row r="302">
      <c r="A302" s="32" t="n"/>
      <c r="B302" s="6" t="n"/>
      <c r="C302" s="6" t="n"/>
      <c r="D302" s="18" t="n"/>
      <c r="E302" s="18" t="n"/>
      <c r="F302" s="18" t="n"/>
      <c r="G302" s="18" t="n"/>
    </row>
    <row r="303">
      <c r="A303" s="29" t="n"/>
      <c r="B303" s="30" t="n"/>
      <c r="C303" s="30" t="n"/>
      <c r="D303" s="31" t="n"/>
      <c r="E303" s="31" t="n"/>
      <c r="F303" s="31" t="n"/>
      <c r="G303" s="31" t="n"/>
    </row>
    <row r="304">
      <c r="A304" s="32" t="n"/>
      <c r="B304" s="6" t="n"/>
      <c r="C304" s="6" t="n"/>
      <c r="D304" s="18" t="n"/>
      <c r="E304" s="18" t="n"/>
      <c r="F304" s="18" t="n"/>
      <c r="G304" s="18" t="n"/>
    </row>
    <row r="305">
      <c r="A305" s="29" t="n"/>
      <c r="B305" s="30" t="n"/>
      <c r="C305" s="30" t="n"/>
      <c r="D305" s="31" t="n"/>
      <c r="E305" s="31" t="n"/>
      <c r="F305" s="31" t="n"/>
      <c r="G305" s="31" t="n"/>
    </row>
    <row r="306">
      <c r="A306" s="32" t="n"/>
      <c r="B306" s="6" t="n"/>
      <c r="C306" s="6" t="n"/>
      <c r="D306" s="18" t="n"/>
      <c r="E306" s="18" t="n"/>
      <c r="F306" s="18" t="n"/>
      <c r="G306" s="18" t="n"/>
    </row>
    <row r="307">
      <c r="A307" s="29" t="n"/>
      <c r="B307" s="30" t="n"/>
      <c r="C307" s="30" t="n"/>
      <c r="D307" s="31" t="n"/>
      <c r="E307" s="31" t="n"/>
      <c r="F307" s="31" t="n"/>
      <c r="G307" s="31" t="n"/>
    </row>
    <row r="308">
      <c r="A308" s="32" t="n"/>
      <c r="B308" s="6" t="n"/>
      <c r="C308" s="6" t="n"/>
      <c r="D308" s="18" t="n"/>
      <c r="E308" s="18" t="n"/>
      <c r="F308" s="18" t="n"/>
      <c r="G308" s="18" t="n"/>
    </row>
    <row r="309">
      <c r="A309" s="29" t="n"/>
      <c r="B309" s="30" t="n"/>
      <c r="C309" s="30" t="n"/>
      <c r="D309" s="31" t="n"/>
      <c r="E309" s="31" t="n"/>
      <c r="F309" s="31" t="n"/>
      <c r="G309" s="31" t="n"/>
    </row>
    <row r="310">
      <c r="A310" s="32" t="n"/>
      <c r="B310" s="6" t="n"/>
      <c r="C310" s="6" t="n"/>
      <c r="D310" s="18" t="n"/>
      <c r="E310" s="18" t="n"/>
      <c r="F310" s="18" t="n"/>
      <c r="G310" s="18" t="n"/>
    </row>
    <row r="311">
      <c r="A311" s="29" t="n"/>
      <c r="B311" s="30" t="n"/>
      <c r="C311" s="30" t="n"/>
      <c r="D311" s="31" t="n"/>
      <c r="E311" s="31" t="n"/>
      <c r="F311" s="31" t="n"/>
      <c r="G311" s="31" t="n"/>
    </row>
    <row r="312">
      <c r="A312" s="32" t="n"/>
      <c r="B312" s="6" t="n"/>
      <c r="C312" s="6" t="n"/>
      <c r="D312" s="18" t="n"/>
      <c r="E312" s="18" t="n"/>
      <c r="F312" s="18" t="n"/>
      <c r="G312" s="18" t="n"/>
    </row>
    <row r="313">
      <c r="A313" s="29" t="n"/>
      <c r="B313" s="30" t="n"/>
      <c r="C313" s="30" t="n"/>
      <c r="D313" s="31" t="n"/>
      <c r="E313" s="31" t="n"/>
      <c r="F313" s="31" t="n"/>
      <c r="G313" s="31" t="n"/>
    </row>
    <row r="314">
      <c r="A314" s="32" t="n"/>
      <c r="B314" s="6" t="n"/>
      <c r="C314" s="6" t="n"/>
      <c r="D314" s="18" t="n"/>
      <c r="E314" s="18" t="n"/>
      <c r="F314" s="18" t="n"/>
      <c r="G314" s="18" t="n"/>
    </row>
    <row r="315">
      <c r="A315" s="29" t="n"/>
      <c r="B315" s="30" t="n"/>
      <c r="C315" s="30" t="n"/>
      <c r="D315" s="31" t="n"/>
      <c r="E315" s="31" t="n"/>
      <c r="F315" s="31" t="n"/>
      <c r="G315" s="31" t="n"/>
    </row>
    <row r="316">
      <c r="A316" s="32" t="n"/>
      <c r="B316" s="6" t="n"/>
      <c r="C316" s="6" t="n"/>
      <c r="D316" s="18" t="n"/>
      <c r="E316" s="18" t="n"/>
      <c r="F316" s="18" t="n"/>
      <c r="G316" s="18" t="n"/>
    </row>
    <row r="317">
      <c r="A317" s="29" t="n"/>
      <c r="B317" s="30" t="n"/>
      <c r="C317" s="30" t="n"/>
      <c r="D317" s="31" t="n"/>
      <c r="E317" s="31" t="n"/>
      <c r="F317" s="31" t="n"/>
      <c r="G317" s="31" t="n"/>
    </row>
    <row r="318">
      <c r="A318" s="32" t="n"/>
      <c r="B318" s="6" t="n"/>
      <c r="C318" s="6" t="n"/>
      <c r="D318" s="18" t="n"/>
      <c r="E318" s="18" t="n"/>
      <c r="F318" s="18" t="n"/>
      <c r="G318" s="18" t="n"/>
    </row>
    <row r="319">
      <c r="A319" s="29" t="n"/>
      <c r="B319" s="30" t="n"/>
      <c r="C319" s="30" t="n"/>
      <c r="D319" s="31" t="n"/>
      <c r="E319" s="31" t="n"/>
      <c r="F319" s="31" t="n"/>
      <c r="G319" s="31" t="n"/>
    </row>
    <row r="320">
      <c r="A320" s="32" t="n"/>
      <c r="B320" s="6" t="n"/>
      <c r="C320" s="6" t="n"/>
      <c r="D320" s="18" t="n"/>
      <c r="E320" s="18" t="n"/>
      <c r="F320" s="18" t="n"/>
      <c r="G320" s="18" t="n"/>
    </row>
    <row r="321">
      <c r="A321" s="29" t="n"/>
      <c r="B321" s="30" t="n"/>
      <c r="C321" s="30" t="n"/>
      <c r="D321" s="31" t="n"/>
      <c r="E321" s="31" t="n"/>
      <c r="F321" s="31" t="n"/>
      <c r="G321" s="31" t="n"/>
    </row>
    <row r="322">
      <c r="A322" s="32" t="n"/>
      <c r="B322" s="6" t="n"/>
      <c r="C322" s="6" t="n"/>
      <c r="D322" s="18" t="n"/>
      <c r="E322" s="18" t="n"/>
      <c r="F322" s="18" t="n"/>
      <c r="G322" s="18" t="n"/>
    </row>
    <row r="323">
      <c r="A323" s="29" t="n"/>
      <c r="B323" s="30" t="n"/>
      <c r="C323" s="30" t="n"/>
      <c r="D323" s="31" t="n"/>
      <c r="E323" s="31" t="n"/>
      <c r="F323" s="31" t="n"/>
      <c r="G323" s="31" t="n"/>
    </row>
    <row r="324">
      <c r="A324" s="32" t="n"/>
      <c r="B324" s="6" t="n"/>
      <c r="C324" s="6" t="n"/>
      <c r="D324" s="18" t="n"/>
      <c r="E324" s="18" t="n"/>
      <c r="F324" s="18" t="n"/>
      <c r="G324" s="18" t="n"/>
    </row>
    <row r="325">
      <c r="A325" s="29" t="n"/>
      <c r="B325" s="30" t="n"/>
      <c r="C325" s="30" t="n"/>
      <c r="D325" s="31" t="n"/>
      <c r="E325" s="31" t="n"/>
      <c r="F325" s="31" t="n"/>
      <c r="G325" s="31" t="n"/>
    </row>
    <row r="326">
      <c r="A326" s="32" t="n"/>
      <c r="B326" s="6" t="n"/>
      <c r="C326" s="6" t="n"/>
      <c r="D326" s="18" t="n"/>
      <c r="E326" s="18" t="n"/>
      <c r="F326" s="18" t="n"/>
      <c r="G326" s="18" t="n"/>
    </row>
    <row r="327">
      <c r="A327" s="29" t="n"/>
      <c r="B327" s="30" t="n"/>
      <c r="C327" s="30" t="n"/>
      <c r="D327" s="31" t="n"/>
      <c r="E327" s="31" t="n"/>
      <c r="F327" s="31" t="n"/>
      <c r="G327" s="31" t="n"/>
    </row>
    <row r="328">
      <c r="A328" s="32" t="n"/>
      <c r="B328" s="6" t="n"/>
      <c r="C328" s="6" t="n"/>
      <c r="D328" s="18" t="n"/>
      <c r="E328" s="18" t="n"/>
      <c r="F328" s="18" t="n"/>
      <c r="G328" s="18" t="n"/>
    </row>
    <row r="329">
      <c r="A329" s="29" t="n"/>
      <c r="B329" s="30" t="n"/>
      <c r="C329" s="30" t="n"/>
      <c r="D329" s="31" t="n"/>
      <c r="E329" s="31" t="n"/>
      <c r="F329" s="31" t="n"/>
      <c r="G329" s="31" t="n"/>
    </row>
    <row r="330">
      <c r="A330" s="32" t="n"/>
      <c r="B330" s="6" t="n"/>
      <c r="C330" s="6" t="n"/>
      <c r="D330" s="18" t="n"/>
      <c r="E330" s="18" t="n"/>
      <c r="F330" s="18" t="n"/>
      <c r="G330" s="18" t="n"/>
    </row>
    <row r="331">
      <c r="A331" s="29" t="n"/>
      <c r="B331" s="30" t="n"/>
      <c r="C331" s="30" t="n"/>
      <c r="D331" s="31" t="n"/>
      <c r="E331" s="31" t="n"/>
      <c r="F331" s="31" t="n"/>
      <c r="G331" s="31" t="n"/>
    </row>
    <row r="332">
      <c r="A332" s="32" t="n"/>
      <c r="B332" s="6" t="n"/>
      <c r="C332" s="6" t="n"/>
      <c r="D332" s="18" t="n"/>
      <c r="E332" s="18" t="n"/>
      <c r="F332" s="18" t="n"/>
      <c r="G332" s="18" t="n"/>
    </row>
    <row r="333">
      <c r="A333" s="29" t="n"/>
      <c r="B333" s="30" t="n"/>
      <c r="C333" s="30" t="n"/>
      <c r="D333" s="31" t="n"/>
      <c r="E333" s="31" t="n"/>
      <c r="F333" s="31" t="n"/>
      <c r="G333" s="31" t="n"/>
    </row>
    <row r="334">
      <c r="A334" s="32" t="n"/>
      <c r="B334" s="6" t="n"/>
      <c r="C334" s="6" t="n"/>
      <c r="D334" s="18" t="n"/>
      <c r="E334" s="18" t="n"/>
      <c r="F334" s="18" t="n"/>
      <c r="G334" s="18" t="n"/>
    </row>
    <row r="335">
      <c r="A335" s="29" t="n"/>
      <c r="B335" s="30" t="n"/>
      <c r="C335" s="30" t="n"/>
      <c r="D335" s="31" t="n"/>
      <c r="E335" s="31" t="n"/>
      <c r="F335" s="31" t="n"/>
      <c r="G335" s="31" t="n"/>
    </row>
    <row r="336">
      <c r="A336" s="32" t="n"/>
      <c r="B336" s="6" t="n"/>
      <c r="C336" s="6" t="n"/>
      <c r="D336" s="18" t="n"/>
      <c r="E336" s="18" t="n"/>
      <c r="F336" s="18" t="n"/>
      <c r="G336" s="18" t="n"/>
    </row>
    <row r="337">
      <c r="A337" s="29" t="n"/>
      <c r="B337" s="30" t="n"/>
      <c r="C337" s="30" t="n"/>
      <c r="D337" s="31" t="n"/>
      <c r="E337" s="31" t="n"/>
      <c r="F337" s="31" t="n"/>
      <c r="G337" s="31" t="n"/>
    </row>
    <row r="338">
      <c r="A338" s="32" t="n"/>
      <c r="B338" s="6" t="n"/>
      <c r="C338" s="6" t="n"/>
      <c r="D338" s="18" t="n"/>
      <c r="E338" s="18" t="n"/>
      <c r="F338" s="18" t="n"/>
      <c r="G338" s="18" t="n"/>
    </row>
    <row r="339">
      <c r="A339" s="29" t="n"/>
      <c r="B339" s="30" t="n"/>
      <c r="C339" s="30" t="n"/>
      <c r="D339" s="31" t="n"/>
      <c r="E339" s="31" t="n"/>
      <c r="F339" s="31" t="n"/>
      <c r="G339" s="31" t="n"/>
    </row>
    <row r="340">
      <c r="A340" s="32" t="n"/>
      <c r="B340" s="6" t="n"/>
      <c r="C340" s="6" t="n"/>
      <c r="D340" s="18" t="n"/>
      <c r="E340" s="18" t="n"/>
      <c r="F340" s="18" t="n"/>
      <c r="G340" s="18" t="n"/>
    </row>
    <row r="341">
      <c r="A341" s="29" t="n"/>
      <c r="B341" s="30" t="n"/>
      <c r="C341" s="30" t="n"/>
      <c r="D341" s="31" t="n"/>
      <c r="E341" s="31" t="n"/>
      <c r="F341" s="31" t="n"/>
      <c r="G341" s="31" t="n"/>
    </row>
    <row r="342">
      <c r="A342" s="32" t="n"/>
      <c r="B342" s="6" t="n"/>
      <c r="C342" s="6" t="n"/>
      <c r="D342" s="18" t="n"/>
      <c r="E342" s="18" t="n"/>
      <c r="F342" s="18" t="n"/>
      <c r="G342" s="18" t="n"/>
    </row>
    <row r="343">
      <c r="A343" s="29" t="n"/>
      <c r="B343" s="30" t="n"/>
      <c r="C343" s="30" t="n"/>
      <c r="D343" s="31" t="n"/>
      <c r="E343" s="31" t="n"/>
      <c r="F343" s="31" t="n"/>
      <c r="G343" s="31" t="n"/>
    </row>
    <row r="344">
      <c r="A344" s="32" t="n"/>
      <c r="B344" s="6" t="n"/>
      <c r="C344" s="6" t="n"/>
      <c r="D344" s="18" t="n"/>
      <c r="E344" s="18" t="n"/>
      <c r="F344" s="18" t="n"/>
      <c r="G344" s="18" t="n"/>
    </row>
    <row r="345">
      <c r="A345" s="29" t="n"/>
      <c r="B345" s="30" t="n"/>
      <c r="C345" s="30" t="n"/>
      <c r="D345" s="31" t="n"/>
      <c r="E345" s="31" t="n"/>
      <c r="F345" s="31" t="n"/>
      <c r="G345" s="31" t="n"/>
    </row>
    <row r="346">
      <c r="A346" s="32" t="n"/>
      <c r="B346" s="6" t="n"/>
      <c r="C346" s="6" t="n"/>
      <c r="D346" s="18" t="n"/>
      <c r="E346" s="18" t="n"/>
      <c r="F346" s="18" t="n"/>
      <c r="G346" s="18" t="n"/>
    </row>
    <row r="347">
      <c r="A347" s="29" t="n"/>
      <c r="B347" s="30" t="n"/>
      <c r="C347" s="30" t="n"/>
      <c r="D347" s="31" t="n"/>
      <c r="E347" s="31" t="n"/>
      <c r="F347" s="31" t="n"/>
      <c r="G347" s="31" t="n"/>
    </row>
    <row r="348">
      <c r="A348" s="32" t="n"/>
      <c r="B348" s="6" t="n"/>
      <c r="C348" s="6" t="n"/>
      <c r="D348" s="18" t="n"/>
      <c r="E348" s="18" t="n"/>
      <c r="F348" s="18" t="n"/>
      <c r="G348" s="18" t="n"/>
    </row>
    <row r="349">
      <c r="A349" s="29" t="n"/>
      <c r="B349" s="30" t="n"/>
      <c r="C349" s="30" t="n"/>
      <c r="D349" s="31" t="n"/>
      <c r="E349" s="31" t="n"/>
      <c r="F349" s="31" t="n"/>
      <c r="G349" s="31" t="n"/>
    </row>
    <row r="350">
      <c r="A350" s="32" t="n"/>
      <c r="B350" s="6" t="n"/>
      <c r="C350" s="6" t="n"/>
      <c r="D350" s="18" t="n"/>
      <c r="E350" s="18" t="n"/>
      <c r="F350" s="18" t="n"/>
      <c r="G350" s="18" t="n"/>
    </row>
    <row r="351">
      <c r="A351" s="29" t="n"/>
      <c r="B351" s="30" t="n"/>
      <c r="C351" s="30" t="n"/>
      <c r="D351" s="31" t="n"/>
      <c r="E351" s="31" t="n"/>
      <c r="F351" s="31" t="n"/>
      <c r="G351" s="31" t="n"/>
    </row>
    <row r="352">
      <c r="A352" s="32" t="n"/>
      <c r="B352" s="6" t="n"/>
      <c r="C352" s="6" t="n"/>
      <c r="D352" s="18" t="n"/>
      <c r="E352" s="18" t="n"/>
      <c r="F352" s="18" t="n"/>
      <c r="G352" s="18" t="n"/>
    </row>
    <row r="353">
      <c r="A353" s="29" t="n"/>
      <c r="B353" s="30" t="n"/>
      <c r="C353" s="30" t="n"/>
      <c r="D353" s="31" t="n"/>
      <c r="E353" s="31" t="n"/>
      <c r="F353" s="31" t="n"/>
      <c r="G353" s="31" t="n"/>
    </row>
    <row r="354">
      <c r="A354" s="32" t="n"/>
      <c r="B354" s="6" t="n"/>
      <c r="C354" s="6" t="n"/>
      <c r="D354" s="18" t="n"/>
      <c r="E354" s="18" t="n"/>
      <c r="F354" s="18" t="n"/>
      <c r="G354" s="18" t="n"/>
    </row>
    <row r="355">
      <c r="A355" s="29" t="n"/>
      <c r="B355" s="30" t="n"/>
      <c r="C355" s="30" t="n"/>
      <c r="D355" s="31" t="n"/>
      <c r="E355" s="31" t="n"/>
      <c r="F355" s="31" t="n"/>
      <c r="G355" s="31" t="n"/>
    </row>
    <row r="356">
      <c r="A356" s="32" t="n"/>
      <c r="B356" s="6" t="n"/>
      <c r="C356" s="6" t="n"/>
      <c r="D356" s="18" t="n"/>
      <c r="E356" s="18" t="n"/>
      <c r="F356" s="18" t="n"/>
      <c r="G356" s="18" t="n"/>
    </row>
    <row r="357">
      <c r="A357" s="29" t="n"/>
      <c r="B357" s="30" t="n"/>
      <c r="C357" s="30" t="n"/>
      <c r="D357" s="31" t="n"/>
      <c r="E357" s="31" t="n"/>
      <c r="F357" s="31" t="n"/>
      <c r="G357" s="31" t="n"/>
    </row>
    <row r="358">
      <c r="A358" s="32" t="n"/>
      <c r="B358" s="6" t="n"/>
      <c r="C358" s="6" t="n"/>
      <c r="D358" s="18" t="n"/>
      <c r="E358" s="18" t="n"/>
      <c r="F358" s="18" t="n"/>
      <c r="G358" s="18" t="n"/>
    </row>
    <row r="359">
      <c r="A359" s="29" t="n"/>
      <c r="B359" s="30" t="n"/>
      <c r="C359" s="30" t="n"/>
      <c r="D359" s="31" t="n"/>
      <c r="E359" s="31" t="n"/>
      <c r="F359" s="31" t="n"/>
      <c r="G359" s="31" t="n"/>
    </row>
    <row r="360">
      <c r="A360" s="32" t="n"/>
      <c r="B360" s="6" t="n"/>
      <c r="C360" s="6" t="n"/>
      <c r="D360" s="18" t="n"/>
      <c r="E360" s="18" t="n"/>
      <c r="F360" s="18" t="n"/>
      <c r="G360" s="18" t="n"/>
    </row>
    <row r="361">
      <c r="A361" s="29" t="n"/>
      <c r="B361" s="30" t="n"/>
      <c r="C361" s="30" t="n"/>
      <c r="D361" s="31" t="n"/>
      <c r="E361" s="31" t="n"/>
      <c r="F361" s="31" t="n"/>
      <c r="G361" s="31" t="n"/>
    </row>
    <row r="362">
      <c r="A362" s="32" t="n"/>
      <c r="B362" s="6" t="n"/>
      <c r="C362" s="6" t="n"/>
      <c r="D362" s="18" t="n"/>
      <c r="E362" s="18" t="n"/>
      <c r="F362" s="18" t="n"/>
      <c r="G362" s="18" t="n"/>
    </row>
    <row r="363">
      <c r="A363" s="29" t="n"/>
      <c r="B363" s="30" t="n"/>
      <c r="C363" s="30" t="n"/>
      <c r="D363" s="31" t="n"/>
      <c r="E363" s="31" t="n"/>
      <c r="F363" s="31" t="n"/>
      <c r="G363" s="31" t="n"/>
    </row>
    <row r="364">
      <c r="A364" s="32" t="n"/>
      <c r="B364" s="6" t="n"/>
      <c r="C364" s="6" t="n"/>
      <c r="D364" s="18" t="n"/>
      <c r="E364" s="18" t="n"/>
      <c r="F364" s="18" t="n"/>
      <c r="G364" s="18" t="n"/>
    </row>
    <row r="365">
      <c r="A365" s="29" t="n"/>
      <c r="B365" s="30" t="n"/>
      <c r="C365" s="30" t="n"/>
      <c r="D365" s="31" t="n"/>
      <c r="E365" s="31" t="n"/>
      <c r="F365" s="31" t="n"/>
      <c r="G365" s="31" t="n"/>
    </row>
    <row r="366">
      <c r="A366" s="32" t="n"/>
      <c r="B366" s="6" t="n"/>
      <c r="C366" s="6" t="n"/>
      <c r="D366" s="18" t="n"/>
      <c r="E366" s="18" t="n"/>
      <c r="F366" s="18" t="n"/>
      <c r="G366" s="18" t="n"/>
    </row>
    <row r="367">
      <c r="A367" s="29" t="n"/>
      <c r="B367" s="30" t="n"/>
      <c r="C367" s="30" t="n"/>
      <c r="D367" s="31" t="n"/>
      <c r="E367" s="31" t="n"/>
      <c r="F367" s="31" t="n"/>
      <c r="G367" s="31" t="n"/>
    </row>
    <row r="368">
      <c r="A368" s="32" t="n"/>
      <c r="B368" s="6" t="n"/>
      <c r="C368" s="6" t="n"/>
      <c r="D368" s="18" t="n"/>
      <c r="E368" s="18" t="n"/>
      <c r="F368" s="18" t="n"/>
      <c r="G368" s="18" t="n"/>
    </row>
    <row r="369">
      <c r="A369" s="29" t="n"/>
      <c r="B369" s="30" t="n"/>
      <c r="C369" s="30" t="n"/>
      <c r="D369" s="31" t="n"/>
      <c r="E369" s="31" t="n"/>
      <c r="F369" s="31" t="n"/>
      <c r="G369" s="31" t="n"/>
    </row>
    <row r="370">
      <c r="A370" s="32" t="n"/>
      <c r="B370" s="6" t="n"/>
      <c r="C370" s="6" t="n"/>
      <c r="D370" s="18" t="n"/>
      <c r="E370" s="18" t="n"/>
      <c r="F370" s="18" t="n"/>
      <c r="G370" s="18" t="n"/>
    </row>
    <row r="371">
      <c r="A371" s="29" t="n"/>
      <c r="B371" s="30" t="n"/>
      <c r="C371" s="30" t="n"/>
      <c r="D371" s="31" t="n"/>
      <c r="E371" s="31" t="n"/>
      <c r="F371" s="31" t="n"/>
      <c r="G371" s="31" t="n"/>
    </row>
    <row r="372">
      <c r="A372" s="32" t="n"/>
      <c r="B372" s="6" t="n"/>
      <c r="C372" s="6" t="n"/>
      <c r="D372" s="18" t="n"/>
      <c r="E372" s="18" t="n"/>
      <c r="F372" s="18" t="n"/>
      <c r="G372" s="18" t="n"/>
    </row>
    <row r="373">
      <c r="A373" s="29" t="n"/>
      <c r="B373" s="30" t="n"/>
      <c r="C373" s="30" t="n"/>
      <c r="D373" s="31" t="n"/>
      <c r="E373" s="31" t="n"/>
      <c r="F373" s="31" t="n"/>
      <c r="G373" s="31" t="n"/>
    </row>
    <row r="374">
      <c r="A374" s="32" t="n"/>
      <c r="B374" s="6" t="n"/>
      <c r="C374" s="6" t="n"/>
      <c r="D374" s="18" t="n"/>
      <c r="E374" s="18" t="n"/>
      <c r="F374" s="18" t="n"/>
      <c r="G374" s="18" t="n"/>
    </row>
    <row r="375">
      <c r="A375" s="29" t="n"/>
      <c r="B375" s="30" t="n"/>
      <c r="C375" s="30" t="n"/>
      <c r="D375" s="31" t="n"/>
      <c r="E375" s="31" t="n"/>
      <c r="F375" s="31" t="n"/>
      <c r="G375" s="31" t="n"/>
    </row>
    <row r="376">
      <c r="A376" s="32" t="n"/>
      <c r="B376" s="6" t="n"/>
      <c r="C376" s="6" t="n"/>
      <c r="D376" s="18" t="n"/>
      <c r="E376" s="18" t="n"/>
      <c r="F376" s="18" t="n"/>
      <c r="G376" s="18" t="n"/>
    </row>
    <row r="377">
      <c r="A377" s="29" t="n"/>
      <c r="B377" s="30" t="n"/>
      <c r="C377" s="30" t="n"/>
      <c r="D377" s="31" t="n"/>
      <c r="E377" s="31" t="n"/>
      <c r="F377" s="31" t="n"/>
      <c r="G377" s="31" t="n"/>
    </row>
    <row r="378">
      <c r="A378" s="32" t="n"/>
      <c r="B378" s="6" t="n"/>
      <c r="C378" s="6" t="n"/>
      <c r="D378" s="18" t="n"/>
      <c r="E378" s="18" t="n"/>
      <c r="F378" s="18" t="n"/>
      <c r="G378" s="18" t="n"/>
    </row>
    <row r="379">
      <c r="A379" s="29" t="n"/>
      <c r="B379" s="30" t="n"/>
      <c r="C379" s="30" t="n"/>
      <c r="D379" s="31" t="n"/>
      <c r="E379" s="31" t="n"/>
      <c r="F379" s="31" t="n"/>
      <c r="G379" s="31" t="n"/>
    </row>
    <row r="380">
      <c r="A380" s="32" t="n"/>
      <c r="B380" s="6" t="n"/>
      <c r="C380" s="6" t="n"/>
      <c r="D380" s="18" t="n"/>
      <c r="E380" s="18" t="n"/>
      <c r="F380" s="18" t="n"/>
      <c r="G380" s="18" t="n"/>
    </row>
    <row r="381">
      <c r="A381" s="29" t="n"/>
      <c r="B381" s="30" t="n"/>
      <c r="C381" s="30" t="n"/>
      <c r="D381" s="31" t="n"/>
      <c r="E381" s="31" t="n"/>
      <c r="F381" s="31" t="n"/>
      <c r="G381" s="31" t="n"/>
    </row>
    <row r="382">
      <c r="A382" s="32" t="n"/>
      <c r="B382" s="6" t="n"/>
      <c r="C382" s="6" t="n"/>
      <c r="D382" s="18" t="n"/>
      <c r="E382" s="18" t="n"/>
      <c r="F382" s="18" t="n"/>
      <c r="G382" s="18" t="n"/>
    </row>
    <row r="383">
      <c r="A383" s="29" t="n"/>
      <c r="B383" s="30" t="n"/>
      <c r="C383" s="30" t="n"/>
      <c r="D383" s="31" t="n"/>
      <c r="E383" s="31" t="n"/>
      <c r="F383" s="31" t="n"/>
      <c r="G383" s="31" t="n"/>
    </row>
    <row r="384">
      <c r="A384" s="32" t="n"/>
      <c r="B384" s="6" t="n"/>
      <c r="C384" s="6" t="n"/>
      <c r="D384" s="18" t="n"/>
      <c r="E384" s="18" t="n"/>
      <c r="F384" s="18" t="n"/>
      <c r="G384" s="18" t="n"/>
    </row>
    <row r="385">
      <c r="A385" s="29" t="n"/>
      <c r="B385" s="30" t="n"/>
      <c r="C385" s="30" t="n"/>
      <c r="D385" s="31" t="n"/>
      <c r="E385" s="31" t="n"/>
      <c r="F385" s="31" t="n"/>
      <c r="G385" s="31" t="n"/>
    </row>
    <row r="386">
      <c r="A386" s="32" t="n"/>
      <c r="B386" s="6" t="n"/>
      <c r="C386" s="6" t="n"/>
      <c r="D386" s="18" t="n"/>
      <c r="E386" s="18" t="n"/>
      <c r="F386" s="18" t="n"/>
      <c r="G386" s="18" t="n"/>
    </row>
    <row r="387">
      <c r="A387" s="29" t="n"/>
      <c r="B387" s="30" t="n"/>
      <c r="C387" s="30" t="n"/>
      <c r="D387" s="31" t="n"/>
      <c r="E387" s="31" t="n"/>
      <c r="F387" s="31" t="n"/>
      <c r="G387" s="31" t="n"/>
    </row>
    <row r="388">
      <c r="A388" s="32" t="n"/>
      <c r="B388" s="6" t="n"/>
      <c r="C388" s="6" t="n"/>
      <c r="D388" s="18" t="n"/>
      <c r="E388" s="18" t="n"/>
      <c r="F388" s="18" t="n"/>
      <c r="G388" s="18" t="n"/>
    </row>
    <row r="389">
      <c r="A389" s="29" t="n"/>
      <c r="B389" s="30" t="n"/>
      <c r="C389" s="30" t="n"/>
      <c r="D389" s="31" t="n"/>
      <c r="E389" s="31" t="n"/>
      <c r="F389" s="31" t="n"/>
      <c r="G389" s="31" t="n"/>
    </row>
    <row r="390">
      <c r="A390" s="32" t="n"/>
      <c r="B390" s="6" t="n"/>
      <c r="C390" s="6" t="n"/>
      <c r="D390" s="18" t="n"/>
      <c r="E390" s="18" t="n"/>
      <c r="F390" s="18" t="n"/>
      <c r="G390" s="18" t="n"/>
    </row>
    <row r="391">
      <c r="A391" s="29" t="n"/>
      <c r="B391" s="30" t="n"/>
      <c r="C391" s="30" t="n"/>
      <c r="D391" s="31" t="n"/>
      <c r="E391" s="31" t="n"/>
      <c r="F391" s="31" t="n"/>
      <c r="G391" s="31" t="n"/>
    </row>
    <row r="392">
      <c r="A392" s="32" t="n"/>
      <c r="B392" s="6" t="n"/>
      <c r="C392" s="6" t="n"/>
      <c r="D392" s="18" t="n"/>
      <c r="E392" s="18" t="n"/>
      <c r="F392" s="18" t="n"/>
      <c r="G392" s="18" t="n"/>
    </row>
    <row r="393">
      <c r="A393" s="29" t="n"/>
      <c r="B393" s="30" t="n"/>
      <c r="C393" s="30" t="n"/>
      <c r="D393" s="31" t="n"/>
      <c r="E393" s="31" t="n"/>
      <c r="F393" s="31" t="n"/>
      <c r="G393" s="31" t="n"/>
    </row>
    <row r="394">
      <c r="A394" s="32" t="n"/>
      <c r="B394" s="6" t="n"/>
      <c r="C394" s="6" t="n"/>
      <c r="D394" s="18" t="n"/>
      <c r="E394" s="18" t="n"/>
      <c r="F394" s="18" t="n"/>
      <c r="G394" s="18" t="n"/>
    </row>
    <row r="395">
      <c r="A395" s="29" t="n"/>
      <c r="B395" s="30" t="n"/>
      <c r="C395" s="30" t="n"/>
      <c r="D395" s="31" t="n"/>
      <c r="E395" s="31" t="n"/>
      <c r="F395" s="31" t="n"/>
      <c r="G395" s="31" t="n"/>
    </row>
    <row r="396">
      <c r="A396" s="32" t="n"/>
      <c r="B396" s="6" t="n"/>
      <c r="C396" s="6" t="n"/>
      <c r="D396" s="18" t="n"/>
      <c r="E396" s="18" t="n"/>
      <c r="F396" s="18" t="n"/>
      <c r="G396" s="18" t="n"/>
    </row>
    <row r="397">
      <c r="A397" s="29" t="n"/>
      <c r="B397" s="30" t="n"/>
      <c r="C397" s="30" t="n"/>
      <c r="D397" s="31" t="n"/>
      <c r="E397" s="31" t="n"/>
      <c r="F397" s="31" t="n"/>
      <c r="G397" s="31" t="n"/>
    </row>
    <row r="398">
      <c r="A398" s="32" t="n"/>
      <c r="B398" s="6" t="n"/>
      <c r="C398" s="6" t="n"/>
      <c r="D398" s="18" t="n"/>
      <c r="E398" s="18" t="n"/>
      <c r="F398" s="18" t="n"/>
      <c r="G398" s="18" t="n"/>
    </row>
    <row r="399">
      <c r="A399" s="29" t="n"/>
      <c r="B399" s="30" t="n"/>
      <c r="C399" s="30" t="n"/>
      <c r="D399" s="31" t="n"/>
      <c r="E399" s="31" t="n"/>
      <c r="F399" s="31" t="n"/>
      <c r="G399" s="31" t="n"/>
    </row>
    <row r="400">
      <c r="A400" s="32" t="n"/>
      <c r="B400" s="6" t="n"/>
      <c r="C400" s="6" t="n"/>
      <c r="D400" s="18" t="n"/>
      <c r="E400" s="18" t="n"/>
      <c r="F400" s="18" t="n"/>
      <c r="G400" s="18" t="n"/>
    </row>
    <row r="401">
      <c r="A401" s="29" t="n"/>
      <c r="B401" s="30" t="n"/>
      <c r="C401" s="30" t="n"/>
      <c r="D401" s="31" t="n"/>
      <c r="E401" s="31" t="n"/>
      <c r="F401" s="31" t="n"/>
      <c r="G401" s="31" t="n"/>
    </row>
    <row r="402">
      <c r="A402" s="32" t="n"/>
      <c r="B402" s="6" t="n"/>
      <c r="C402" s="6" t="n"/>
      <c r="D402" s="18" t="n"/>
      <c r="E402" s="18" t="n"/>
      <c r="F402" s="18" t="n"/>
      <c r="G402" s="18" t="n"/>
    </row>
    <row r="403">
      <c r="A403" s="29" t="n"/>
      <c r="B403" s="30" t="n"/>
      <c r="C403" s="30" t="n"/>
      <c r="D403" s="31" t="n"/>
      <c r="E403" s="31" t="n"/>
      <c r="F403" s="31" t="n"/>
      <c r="G403" s="31" t="n"/>
    </row>
    <row r="404">
      <c r="A404" s="32" t="n"/>
      <c r="B404" s="6" t="n"/>
      <c r="C404" s="6" t="n"/>
      <c r="D404" s="18" t="n"/>
      <c r="E404" s="18" t="n"/>
      <c r="F404" s="18" t="n"/>
      <c r="G404" s="18" t="n"/>
    </row>
    <row r="405">
      <c r="A405" s="29" t="n"/>
      <c r="B405" s="30" t="n"/>
      <c r="C405" s="30" t="n"/>
      <c r="D405" s="31" t="n"/>
      <c r="E405" s="31" t="n"/>
      <c r="F405" s="31" t="n"/>
      <c r="G405" s="31" t="n"/>
    </row>
    <row r="406">
      <c r="A406" s="32" t="n"/>
      <c r="B406" s="6" t="n"/>
      <c r="C406" s="6" t="n"/>
      <c r="D406" s="18" t="n"/>
      <c r="E406" s="18" t="n"/>
      <c r="F406" s="18" t="n"/>
      <c r="G406" s="18" t="n"/>
    </row>
    <row r="407">
      <c r="A407" s="29" t="n"/>
      <c r="B407" s="30" t="n"/>
      <c r="C407" s="30" t="n"/>
      <c r="D407" s="31" t="n"/>
      <c r="E407" s="31" t="n"/>
      <c r="F407" s="31" t="n"/>
      <c r="G407" s="31" t="n"/>
    </row>
    <row r="408">
      <c r="A408" s="32" t="n"/>
      <c r="B408" s="6" t="n"/>
      <c r="C408" s="6" t="n"/>
      <c r="D408" s="18" t="n"/>
      <c r="E408" s="18" t="n"/>
      <c r="F408" s="18" t="n"/>
      <c r="G408" s="18" t="n"/>
    </row>
    <row r="409">
      <c r="A409" s="29" t="n"/>
      <c r="B409" s="30" t="n"/>
      <c r="C409" s="30" t="n"/>
      <c r="D409" s="31" t="n"/>
      <c r="E409" s="31" t="n"/>
      <c r="F409" s="31" t="n"/>
      <c r="G409" s="31" t="n"/>
    </row>
    <row r="410">
      <c r="A410" s="32" t="n"/>
      <c r="B410" s="6" t="n"/>
      <c r="C410" s="6" t="n"/>
      <c r="D410" s="18" t="n"/>
      <c r="E410" s="18" t="n"/>
      <c r="F410" s="18" t="n"/>
      <c r="G410" s="18" t="n"/>
    </row>
    <row r="411">
      <c r="A411" s="29" t="n"/>
      <c r="B411" s="30" t="n"/>
      <c r="C411" s="30" t="n"/>
      <c r="D411" s="31" t="n"/>
      <c r="E411" s="31" t="n"/>
      <c r="F411" s="31" t="n"/>
      <c r="G411" s="31" t="n"/>
    </row>
    <row r="412">
      <c r="A412" s="32" t="n"/>
      <c r="B412" s="6" t="n"/>
      <c r="C412" s="6" t="n"/>
      <c r="D412" s="18" t="n"/>
      <c r="E412" s="18" t="n"/>
      <c r="F412" s="18" t="n"/>
      <c r="G412" s="18" t="n"/>
    </row>
    <row r="413">
      <c r="A413" s="29" t="n"/>
      <c r="B413" s="30" t="n"/>
      <c r="C413" s="30" t="n"/>
      <c r="D413" s="31" t="n"/>
      <c r="E413" s="31" t="n"/>
      <c r="F413" s="31" t="n"/>
      <c r="G413" s="31" t="n"/>
    </row>
    <row r="414">
      <c r="A414" s="32" t="n"/>
      <c r="B414" s="6" t="n"/>
      <c r="C414" s="6" t="n"/>
      <c r="D414" s="18" t="n"/>
      <c r="E414" s="18" t="n"/>
      <c r="F414" s="18" t="n"/>
      <c r="G414" s="18" t="n"/>
    </row>
    <row r="415">
      <c r="A415" s="29" t="n"/>
      <c r="B415" s="30" t="n"/>
      <c r="C415" s="30" t="n"/>
      <c r="D415" s="31" t="n"/>
      <c r="E415" s="31" t="n"/>
      <c r="F415" s="31" t="n"/>
      <c r="G415" s="31" t="n"/>
    </row>
    <row r="416">
      <c r="A416" s="32" t="n"/>
      <c r="B416" s="6" t="n"/>
      <c r="C416" s="6" t="n"/>
      <c r="D416" s="18" t="n"/>
      <c r="E416" s="18" t="n"/>
      <c r="F416" s="18" t="n"/>
      <c r="G416" s="18" t="n"/>
    </row>
    <row r="417">
      <c r="A417" s="29" t="n"/>
      <c r="B417" s="30" t="n"/>
      <c r="C417" s="30" t="n"/>
      <c r="D417" s="31" t="n"/>
      <c r="E417" s="31" t="n"/>
      <c r="F417" s="31" t="n"/>
      <c r="G417" s="31" t="n"/>
    </row>
    <row r="418">
      <c r="A418" s="32" t="n"/>
      <c r="B418" s="6" t="n"/>
      <c r="C418" s="6" t="n"/>
      <c r="D418" s="18" t="n"/>
      <c r="E418" s="18" t="n"/>
      <c r="F418" s="18" t="n"/>
      <c r="G418" s="18" t="n"/>
    </row>
    <row r="419">
      <c r="A419" s="29" t="n"/>
      <c r="B419" s="30" t="n"/>
      <c r="C419" s="30" t="n"/>
      <c r="D419" s="31" t="n"/>
      <c r="E419" s="31" t="n"/>
      <c r="F419" s="31" t="n"/>
      <c r="G419" s="31" t="n"/>
    </row>
    <row r="420">
      <c r="A420" s="32" t="n"/>
      <c r="B420" s="6" t="n"/>
      <c r="C420" s="6" t="n"/>
      <c r="D420" s="18" t="n"/>
      <c r="E420" s="18" t="n"/>
      <c r="F420" s="18" t="n"/>
      <c r="G420" s="18" t="n"/>
    </row>
    <row r="421">
      <c r="A421" s="29" t="n"/>
      <c r="B421" s="30" t="n"/>
      <c r="C421" s="30" t="n"/>
      <c r="D421" s="31" t="n"/>
      <c r="E421" s="31" t="n"/>
      <c r="F421" s="31" t="n"/>
      <c r="G421" s="31" t="n"/>
    </row>
    <row r="422">
      <c r="A422" s="32" t="n"/>
      <c r="B422" s="6" t="n"/>
      <c r="C422" s="6" t="n"/>
      <c r="D422" s="18" t="n"/>
      <c r="E422" s="18" t="n"/>
      <c r="F422" s="18" t="n"/>
      <c r="G422" s="18" t="n"/>
    </row>
    <row r="423">
      <c r="A423" s="29" t="n"/>
      <c r="B423" s="30" t="n"/>
      <c r="C423" s="30" t="n"/>
      <c r="D423" s="31" t="n"/>
      <c r="E423" s="31" t="n"/>
      <c r="F423" s="31" t="n"/>
      <c r="G423" s="31" t="n"/>
    </row>
    <row r="424">
      <c r="A424" s="32" t="n"/>
      <c r="B424" s="6" t="n"/>
      <c r="C424" s="6" t="n"/>
      <c r="D424" s="18" t="n"/>
      <c r="E424" s="18" t="n"/>
      <c r="F424" s="18" t="n"/>
      <c r="G424" s="18" t="n"/>
    </row>
    <row r="425">
      <c r="A425" s="29" t="n"/>
      <c r="B425" s="30" t="n"/>
      <c r="C425" s="30" t="n"/>
      <c r="D425" s="31" t="n"/>
      <c r="E425" s="31" t="n"/>
      <c r="F425" s="31" t="n"/>
      <c r="G425" s="31" t="n"/>
    </row>
    <row r="426">
      <c r="A426" s="32" t="n"/>
      <c r="B426" s="6" t="n"/>
      <c r="C426" s="6" t="n"/>
      <c r="D426" s="18" t="n"/>
      <c r="E426" s="18" t="n"/>
      <c r="F426" s="18" t="n"/>
      <c r="G426" s="18" t="n"/>
    </row>
    <row r="427">
      <c r="A427" s="29" t="n"/>
      <c r="B427" s="30" t="n"/>
      <c r="C427" s="30" t="n"/>
      <c r="D427" s="31" t="n"/>
      <c r="E427" s="31" t="n"/>
      <c r="F427" s="31" t="n"/>
      <c r="G427" s="31" t="n"/>
    </row>
    <row r="428">
      <c r="A428" s="32" t="n"/>
      <c r="B428" s="6" t="n"/>
      <c r="C428" s="6" t="n"/>
      <c r="D428" s="18" t="n"/>
      <c r="E428" s="18" t="n"/>
      <c r="F428" s="18" t="n"/>
      <c r="G428" s="18" t="n"/>
    </row>
    <row r="429">
      <c r="A429" s="29" t="n"/>
      <c r="B429" s="30" t="n"/>
      <c r="C429" s="30" t="n"/>
      <c r="D429" s="31" t="n"/>
      <c r="E429" s="31" t="n"/>
      <c r="F429" s="31" t="n"/>
      <c r="G429" s="31" t="n"/>
    </row>
    <row r="430">
      <c r="A430" s="32" t="n"/>
      <c r="B430" s="6" t="n"/>
      <c r="C430" s="6" t="n"/>
      <c r="D430" s="18" t="n"/>
      <c r="E430" s="18" t="n"/>
      <c r="F430" s="18" t="n"/>
      <c r="G430" s="18" t="n"/>
    </row>
    <row r="431">
      <c r="A431" s="29" t="n"/>
      <c r="B431" s="30" t="n"/>
      <c r="C431" s="30" t="n"/>
      <c r="D431" s="31" t="n"/>
      <c r="E431" s="31" t="n"/>
      <c r="F431" s="31" t="n"/>
      <c r="G431" s="31" t="n"/>
    </row>
    <row r="432">
      <c r="A432" s="32" t="n"/>
      <c r="B432" s="6" t="n"/>
      <c r="C432" s="6" t="n"/>
      <c r="D432" s="18" t="n"/>
      <c r="E432" s="18" t="n"/>
      <c r="F432" s="18" t="n"/>
      <c r="G432" s="18" t="n"/>
    </row>
    <row r="433">
      <c r="A433" s="29" t="n"/>
      <c r="B433" s="30" t="n"/>
      <c r="C433" s="30" t="n"/>
      <c r="D433" s="31" t="n"/>
      <c r="E433" s="31" t="n"/>
      <c r="F433" s="31" t="n"/>
      <c r="G433" s="31" t="n"/>
    </row>
    <row r="434">
      <c r="A434" s="32" t="n"/>
      <c r="B434" s="6" t="n"/>
      <c r="C434" s="6" t="n"/>
      <c r="D434" s="18" t="n"/>
      <c r="E434" s="18" t="n"/>
      <c r="F434" s="18" t="n"/>
      <c r="G434" s="18" t="n"/>
    </row>
    <row r="435">
      <c r="A435" s="29" t="n"/>
      <c r="B435" s="30" t="n"/>
      <c r="C435" s="30" t="n"/>
      <c r="D435" s="31" t="n"/>
      <c r="E435" s="31" t="n"/>
      <c r="F435" s="31" t="n"/>
      <c r="G435" s="31" t="n"/>
    </row>
    <row r="436">
      <c r="A436" s="32" t="n"/>
      <c r="B436" s="6" t="n"/>
      <c r="C436" s="6" t="n"/>
      <c r="D436" s="18" t="n"/>
      <c r="E436" s="18" t="n"/>
      <c r="F436" s="18" t="n"/>
      <c r="G436" s="18" t="n"/>
    </row>
    <row r="437">
      <c r="A437" s="29" t="n"/>
      <c r="B437" s="30" t="n"/>
      <c r="C437" s="30" t="n"/>
      <c r="D437" s="31" t="n"/>
      <c r="E437" s="31" t="n"/>
      <c r="F437" s="31" t="n"/>
      <c r="G437" s="31" t="n"/>
    </row>
    <row r="438">
      <c r="A438" s="32" t="n"/>
      <c r="B438" s="6" t="n"/>
      <c r="C438" s="6" t="n"/>
      <c r="D438" s="18" t="n"/>
      <c r="E438" s="18" t="n"/>
      <c r="F438" s="18" t="n"/>
      <c r="G438" s="18" t="n"/>
    </row>
    <row r="439">
      <c r="A439" s="29" t="n"/>
      <c r="B439" s="30" t="n"/>
      <c r="C439" s="30" t="n"/>
      <c r="D439" s="31" t="n"/>
      <c r="E439" s="31" t="n"/>
      <c r="F439" s="31" t="n"/>
      <c r="G439" s="31" t="n"/>
    </row>
    <row r="440">
      <c r="A440" s="32" t="n"/>
      <c r="B440" s="6" t="n"/>
      <c r="C440" s="6" t="n"/>
      <c r="D440" s="18" t="n"/>
      <c r="E440" s="18" t="n"/>
      <c r="F440" s="18" t="n"/>
      <c r="G440" s="18" t="n"/>
    </row>
    <row r="441">
      <c r="A441" s="29" t="n"/>
      <c r="B441" s="30" t="n"/>
      <c r="C441" s="30" t="n"/>
      <c r="D441" s="31" t="n"/>
      <c r="E441" s="31" t="n"/>
      <c r="F441" s="31" t="n"/>
      <c r="G441" s="31" t="n"/>
    </row>
    <row r="442">
      <c r="A442" s="32" t="n"/>
      <c r="B442" s="6" t="n"/>
      <c r="C442" s="6" t="n"/>
      <c r="D442" s="18" t="n"/>
      <c r="E442" s="18" t="n"/>
      <c r="F442" s="18" t="n"/>
      <c r="G442" s="18" t="n"/>
    </row>
    <row r="443">
      <c r="A443" s="29" t="n"/>
      <c r="B443" s="30" t="n"/>
      <c r="C443" s="30" t="n"/>
      <c r="D443" s="31" t="n"/>
      <c r="E443" s="31" t="n"/>
      <c r="F443" s="31" t="n"/>
      <c r="G443" s="31" t="n"/>
    </row>
    <row r="444">
      <c r="A444" s="32" t="n"/>
      <c r="B444" s="6" t="n"/>
      <c r="C444" s="6" t="n"/>
      <c r="D444" s="18" t="n"/>
      <c r="E444" s="18" t="n"/>
      <c r="F444" s="18" t="n"/>
      <c r="G444" s="18" t="n"/>
    </row>
    <row r="445">
      <c r="A445" s="29" t="n"/>
      <c r="B445" s="30" t="n"/>
      <c r="C445" s="30" t="n"/>
      <c r="D445" s="31" t="n"/>
      <c r="E445" s="31" t="n"/>
      <c r="F445" s="31" t="n"/>
      <c r="G445" s="31" t="n"/>
    </row>
    <row r="446">
      <c r="A446" s="32" t="n"/>
      <c r="B446" s="6" t="n"/>
      <c r="C446" s="6" t="n"/>
      <c r="D446" s="18" t="n"/>
      <c r="E446" s="18" t="n"/>
      <c r="F446" s="18" t="n"/>
      <c r="G446" s="18" t="n"/>
    </row>
    <row r="447">
      <c r="A447" s="29" t="n"/>
      <c r="B447" s="30" t="n"/>
      <c r="C447" s="30" t="n"/>
      <c r="D447" s="31" t="n"/>
      <c r="E447" s="31" t="n"/>
      <c r="F447" s="31" t="n"/>
      <c r="G447" s="31" t="n"/>
    </row>
    <row r="448">
      <c r="A448" s="32" t="n"/>
      <c r="B448" s="6" t="n"/>
      <c r="C448" s="6" t="n"/>
      <c r="D448" s="18" t="n"/>
      <c r="E448" s="18" t="n"/>
      <c r="F448" s="18" t="n"/>
      <c r="G448" s="18" t="n"/>
    </row>
    <row r="449">
      <c r="A449" s="29" t="n"/>
      <c r="B449" s="30" t="n"/>
      <c r="C449" s="30" t="n"/>
      <c r="D449" s="31" t="n"/>
      <c r="E449" s="31" t="n"/>
      <c r="F449" s="31" t="n"/>
      <c r="G449" s="31" t="n"/>
    </row>
    <row r="450">
      <c r="A450" s="32" t="n"/>
      <c r="B450" s="6" t="n"/>
      <c r="C450" s="6" t="n"/>
      <c r="D450" s="18" t="n"/>
      <c r="E450" s="18" t="n"/>
      <c r="F450" s="18" t="n"/>
      <c r="G450" s="18" t="n"/>
    </row>
    <row r="451">
      <c r="A451" s="29" t="n"/>
      <c r="B451" s="30" t="n"/>
      <c r="C451" s="30" t="n"/>
      <c r="D451" s="31" t="n"/>
      <c r="E451" s="31" t="n"/>
      <c r="F451" s="31" t="n"/>
      <c r="G451" s="31" t="n"/>
    </row>
    <row r="452">
      <c r="A452" s="32" t="n"/>
      <c r="B452" s="6" t="n"/>
      <c r="C452" s="6" t="n"/>
      <c r="D452" s="18" t="n"/>
      <c r="E452" s="18" t="n"/>
      <c r="F452" s="18" t="n"/>
      <c r="G452" s="18" t="n"/>
    </row>
    <row r="453">
      <c r="A453" s="29" t="n"/>
      <c r="B453" s="30" t="n"/>
      <c r="C453" s="30" t="n"/>
      <c r="D453" s="31" t="n"/>
      <c r="E453" s="31" t="n"/>
      <c r="F453" s="31" t="n"/>
      <c r="G453" s="31" t="n"/>
    </row>
    <row r="454">
      <c r="A454" s="32" t="n"/>
      <c r="B454" s="6" t="n"/>
      <c r="C454" s="6" t="n"/>
      <c r="D454" s="18" t="n"/>
      <c r="E454" s="18" t="n"/>
      <c r="F454" s="18" t="n"/>
      <c r="G454" s="18" t="n"/>
    </row>
    <row r="455">
      <c r="A455" s="29" t="n"/>
      <c r="B455" s="30" t="n"/>
      <c r="C455" s="30" t="n"/>
      <c r="D455" s="31" t="n"/>
      <c r="E455" s="31" t="n"/>
      <c r="F455" s="31" t="n"/>
      <c r="G455" s="31" t="n"/>
    </row>
    <row r="456">
      <c r="A456" s="32" t="n"/>
      <c r="B456" s="6" t="n"/>
      <c r="C456" s="6" t="n"/>
      <c r="D456" s="18" t="n"/>
      <c r="E456" s="18" t="n"/>
      <c r="F456" s="18" t="n"/>
      <c r="G456" s="18" t="n"/>
    </row>
    <row r="457">
      <c r="A457" s="29" t="n"/>
      <c r="B457" s="30" t="n"/>
      <c r="C457" s="30" t="n"/>
      <c r="D457" s="31" t="n"/>
      <c r="E457" s="31" t="n"/>
      <c r="F457" s="31" t="n"/>
      <c r="G457" s="31" t="n"/>
    </row>
    <row r="458">
      <c r="A458" s="32" t="n"/>
      <c r="B458" s="6" t="n"/>
      <c r="C458" s="6" t="n"/>
      <c r="D458" s="18" t="n"/>
      <c r="E458" s="18" t="n"/>
      <c r="F458" s="18" t="n"/>
      <c r="G458" s="18" t="n"/>
    </row>
    <row r="459">
      <c r="A459" s="29" t="n"/>
      <c r="B459" s="30" t="n"/>
      <c r="C459" s="30" t="n"/>
      <c r="D459" s="31" t="n"/>
      <c r="E459" s="31" t="n"/>
      <c r="F459" s="31" t="n"/>
      <c r="G459" s="31" t="n"/>
    </row>
    <row r="460">
      <c r="A460" s="32" t="n"/>
      <c r="B460" s="6" t="n"/>
      <c r="C460" s="6" t="n"/>
      <c r="D460" s="18" t="n"/>
      <c r="E460" s="18" t="n"/>
      <c r="F460" s="18" t="n"/>
      <c r="G460" s="18" t="n"/>
    </row>
    <row r="461">
      <c r="A461" s="29" t="n"/>
      <c r="B461" s="30" t="n"/>
      <c r="C461" s="30" t="n"/>
      <c r="D461" s="31" t="n"/>
      <c r="E461" s="31" t="n"/>
      <c r="F461" s="31" t="n"/>
      <c r="G461" s="31" t="n"/>
    </row>
    <row r="462">
      <c r="A462" s="32" t="n"/>
      <c r="B462" s="6" t="n"/>
      <c r="C462" s="6" t="n"/>
      <c r="D462" s="18" t="n"/>
      <c r="E462" s="18" t="n"/>
      <c r="F462" s="18" t="n"/>
      <c r="G462" s="18" t="n"/>
    </row>
    <row r="463">
      <c r="A463" s="29" t="n"/>
      <c r="B463" s="30" t="n"/>
      <c r="C463" s="30" t="n"/>
      <c r="D463" s="31" t="n"/>
      <c r="E463" s="31" t="n"/>
      <c r="F463" s="31" t="n"/>
      <c r="G463" s="31" t="n"/>
    </row>
    <row r="464">
      <c r="A464" s="32" t="n"/>
      <c r="B464" s="6" t="n"/>
      <c r="C464" s="6" t="n"/>
      <c r="D464" s="18" t="n"/>
      <c r="E464" s="18" t="n"/>
      <c r="F464" s="18" t="n"/>
      <c r="G464" s="18" t="n"/>
    </row>
    <row r="465">
      <c r="A465" s="29" t="n"/>
      <c r="B465" s="30" t="n"/>
      <c r="C465" s="30" t="n"/>
      <c r="D465" s="31" t="n"/>
      <c r="E465" s="31" t="n"/>
      <c r="F465" s="31" t="n"/>
      <c r="G465" s="31" t="n"/>
    </row>
    <row r="466">
      <c r="A466" s="32" t="n"/>
      <c r="B466" s="6" t="n"/>
      <c r="C466" s="6" t="n"/>
      <c r="D466" s="18" t="n"/>
      <c r="E466" s="18" t="n"/>
      <c r="F466" s="18" t="n"/>
      <c r="G466" s="18" t="n"/>
    </row>
    <row r="467">
      <c r="A467" s="29" t="n"/>
      <c r="B467" s="30" t="n"/>
      <c r="C467" s="30" t="n"/>
      <c r="D467" s="31" t="n"/>
      <c r="E467" s="31" t="n"/>
      <c r="F467" s="31" t="n"/>
      <c r="G467" s="31" t="n"/>
    </row>
    <row r="468">
      <c r="A468" s="32" t="n"/>
      <c r="B468" s="6" t="n"/>
      <c r="C468" s="6" t="n"/>
      <c r="D468" s="18" t="n"/>
      <c r="E468" s="18" t="n"/>
      <c r="F468" s="18" t="n"/>
      <c r="G468" s="18" t="n"/>
    </row>
    <row r="469">
      <c r="A469" s="29" t="n"/>
      <c r="B469" s="30" t="n"/>
      <c r="C469" s="30" t="n"/>
      <c r="D469" s="31" t="n"/>
      <c r="E469" s="31" t="n"/>
      <c r="F469" s="31" t="n"/>
      <c r="G469" s="31" t="n"/>
    </row>
    <row r="470">
      <c r="A470" s="32" t="n"/>
      <c r="B470" s="6" t="n"/>
      <c r="C470" s="6" t="n"/>
      <c r="D470" s="18" t="n"/>
      <c r="E470" s="18" t="n"/>
      <c r="F470" s="18" t="n"/>
      <c r="G470" s="18" t="n"/>
    </row>
    <row r="471">
      <c r="A471" s="29" t="n"/>
      <c r="B471" s="30" t="n"/>
      <c r="C471" s="30" t="n"/>
      <c r="D471" s="31" t="n"/>
      <c r="E471" s="31" t="n"/>
      <c r="F471" s="31" t="n"/>
      <c r="G471" s="31" t="n"/>
    </row>
    <row r="472">
      <c r="A472" s="32" t="n"/>
      <c r="B472" s="6" t="n"/>
      <c r="C472" s="6" t="n"/>
      <c r="D472" s="18" t="n"/>
      <c r="E472" s="18" t="n"/>
      <c r="F472" s="18" t="n"/>
      <c r="G472" s="18" t="n"/>
    </row>
    <row r="473">
      <c r="A473" s="29" t="n"/>
      <c r="B473" s="30" t="n"/>
      <c r="C473" s="30" t="n"/>
      <c r="D473" s="31" t="n"/>
      <c r="E473" s="31" t="n"/>
      <c r="F473" s="31" t="n"/>
      <c r="G473" s="31" t="n"/>
    </row>
    <row r="474">
      <c r="A474" s="32" t="n"/>
      <c r="B474" s="6" t="n"/>
      <c r="C474" s="6" t="n"/>
      <c r="D474" s="18" t="n"/>
      <c r="E474" s="18" t="n"/>
      <c r="F474" s="18" t="n"/>
      <c r="G474" s="18" t="n"/>
    </row>
    <row r="475">
      <c r="A475" s="29" t="n"/>
      <c r="B475" s="30" t="n"/>
      <c r="C475" s="30" t="n"/>
      <c r="D475" s="31" t="n"/>
      <c r="E475" s="31" t="n"/>
      <c r="F475" s="31" t="n"/>
      <c r="G475" s="31" t="n"/>
    </row>
    <row r="476">
      <c r="A476" s="32" t="n"/>
      <c r="B476" s="6" t="n"/>
      <c r="C476" s="6" t="n"/>
      <c r="D476" s="18" t="n"/>
      <c r="E476" s="18" t="n"/>
      <c r="F476" s="18" t="n"/>
      <c r="G476" s="18" t="n"/>
    </row>
    <row r="477">
      <c r="A477" s="29" t="n"/>
      <c r="B477" s="30" t="n"/>
      <c r="C477" s="30" t="n"/>
      <c r="D477" s="31" t="n"/>
      <c r="E477" s="31" t="n"/>
      <c r="F477" s="31" t="n"/>
      <c r="G477" s="31" t="n"/>
    </row>
    <row r="478">
      <c r="A478" s="32" t="n"/>
      <c r="B478" s="6" t="n"/>
      <c r="C478" s="6" t="n"/>
      <c r="D478" s="18" t="n"/>
      <c r="E478" s="18" t="n"/>
      <c r="F478" s="18" t="n"/>
      <c r="G478" s="18" t="n"/>
    </row>
    <row r="479">
      <c r="A479" s="29" t="n"/>
      <c r="B479" s="30" t="n"/>
      <c r="C479" s="30" t="n"/>
      <c r="D479" s="31" t="n"/>
      <c r="E479" s="31" t="n"/>
      <c r="F479" s="31" t="n"/>
      <c r="G479" s="31" t="n"/>
    </row>
    <row r="480">
      <c r="A480" s="32" t="n"/>
      <c r="B480" s="6" t="n"/>
      <c r="C480" s="6" t="n"/>
      <c r="D480" s="18" t="n"/>
      <c r="E480" s="18" t="n"/>
      <c r="F480" s="18" t="n"/>
      <c r="G480" s="18" t="n"/>
    </row>
    <row r="481">
      <c r="A481" s="29" t="n"/>
      <c r="B481" s="30" t="n"/>
      <c r="C481" s="30" t="n"/>
      <c r="D481" s="31" t="n"/>
      <c r="E481" s="31" t="n"/>
      <c r="F481" s="31" t="n"/>
      <c r="G481" s="31" t="n"/>
    </row>
    <row r="482">
      <c r="A482" s="32" t="n"/>
      <c r="B482" s="6" t="n"/>
      <c r="C482" s="6" t="n"/>
      <c r="D482" s="18" t="n"/>
      <c r="E482" s="18" t="n"/>
      <c r="F482" s="18" t="n"/>
      <c r="G482" s="18" t="n"/>
    </row>
    <row r="483">
      <c r="A483" s="29" t="n"/>
      <c r="B483" s="30" t="n"/>
      <c r="C483" s="30" t="n"/>
      <c r="D483" s="31" t="n"/>
      <c r="E483" s="31" t="n"/>
      <c r="F483" s="31" t="n"/>
      <c r="G483" s="31" t="n"/>
    </row>
    <row r="484">
      <c r="A484" s="32" t="n"/>
      <c r="B484" s="6" t="n"/>
      <c r="C484" s="6" t="n"/>
      <c r="D484" s="18" t="n"/>
      <c r="E484" s="18" t="n"/>
      <c r="F484" s="18" t="n"/>
      <c r="G484" s="18" t="n"/>
    </row>
    <row r="485">
      <c r="A485" s="29" t="n"/>
      <c r="B485" s="30" t="n"/>
      <c r="C485" s="30" t="n"/>
      <c r="D485" s="31" t="n"/>
      <c r="E485" s="31" t="n"/>
      <c r="F485" s="31" t="n"/>
      <c r="G485" s="31" t="n"/>
    </row>
    <row r="486">
      <c r="A486" s="32" t="n"/>
      <c r="B486" s="6" t="n"/>
      <c r="C486" s="6" t="n"/>
      <c r="D486" s="18" t="n"/>
      <c r="E486" s="18" t="n"/>
      <c r="F486" s="18" t="n"/>
      <c r="G486" s="18" t="n"/>
    </row>
    <row r="487">
      <c r="A487" s="29" t="n"/>
      <c r="B487" s="30" t="n"/>
      <c r="C487" s="30" t="n"/>
      <c r="D487" s="31" t="n"/>
      <c r="E487" s="31" t="n"/>
      <c r="F487" s="31" t="n"/>
      <c r="G487" s="31" t="n"/>
    </row>
    <row r="488">
      <c r="A488" s="32" t="n"/>
      <c r="B488" s="6" t="n"/>
      <c r="C488" s="6" t="n"/>
      <c r="D488" s="18" t="n"/>
      <c r="E488" s="18" t="n"/>
      <c r="F488" s="18" t="n"/>
      <c r="G488" s="18" t="n"/>
    </row>
    <row r="489">
      <c r="A489" s="29" t="n"/>
      <c r="B489" s="30" t="n"/>
      <c r="C489" s="30" t="n"/>
      <c r="D489" s="31" t="n"/>
      <c r="E489" s="31" t="n"/>
      <c r="F489" s="31" t="n"/>
      <c r="G489" s="31" t="n"/>
    </row>
    <row r="490">
      <c r="A490" s="32" t="n"/>
      <c r="B490" s="6" t="n"/>
      <c r="C490" s="6" t="n"/>
      <c r="D490" s="18" t="n"/>
      <c r="E490" s="18" t="n"/>
      <c r="F490" s="18" t="n"/>
      <c r="G490" s="18" t="n"/>
    </row>
    <row r="491">
      <c r="A491" s="29" t="n"/>
      <c r="B491" s="30" t="n"/>
      <c r="C491" s="30" t="n"/>
      <c r="D491" s="31" t="n"/>
      <c r="E491" s="31" t="n"/>
      <c r="F491" s="31" t="n"/>
      <c r="G491" s="31" t="n"/>
    </row>
    <row r="492">
      <c r="A492" s="32" t="n"/>
      <c r="B492" s="6" t="n"/>
      <c r="C492" s="6" t="n"/>
      <c r="D492" s="18" t="n"/>
      <c r="E492" s="18" t="n"/>
      <c r="F492" s="18" t="n"/>
      <c r="G492" s="18" t="n"/>
    </row>
    <row r="493">
      <c r="A493" s="29" t="n"/>
      <c r="B493" s="30" t="n"/>
      <c r="C493" s="30" t="n"/>
      <c r="D493" s="31" t="n"/>
      <c r="E493" s="31" t="n"/>
      <c r="F493" s="31" t="n"/>
      <c r="G493" s="31" t="n"/>
    </row>
    <row r="494">
      <c r="A494" s="32" t="n"/>
      <c r="B494" s="6" t="n"/>
      <c r="C494" s="6" t="n"/>
      <c r="D494" s="18" t="n"/>
      <c r="E494" s="18" t="n"/>
      <c r="F494" s="18" t="n"/>
      <c r="G494" s="18" t="n"/>
    </row>
    <row r="495">
      <c r="A495" s="29" t="n"/>
      <c r="B495" s="30" t="n"/>
      <c r="C495" s="30" t="n"/>
      <c r="D495" s="31" t="n"/>
      <c r="E495" s="31" t="n"/>
      <c r="F495" s="31" t="n"/>
      <c r="G495" s="31" t="n"/>
    </row>
    <row r="496">
      <c r="A496" s="32" t="n"/>
      <c r="B496" s="6" t="n"/>
      <c r="C496" s="6" t="n"/>
      <c r="D496" s="18" t="n"/>
      <c r="E496" s="18" t="n"/>
      <c r="F496" s="18" t="n"/>
      <c r="G496" s="18" t="n"/>
    </row>
    <row r="497">
      <c r="A497" s="29" t="n"/>
      <c r="B497" s="30" t="n"/>
      <c r="C497" s="30" t="n"/>
      <c r="D497" s="31" t="n"/>
      <c r="E497" s="31" t="n"/>
      <c r="F497" s="31" t="n"/>
      <c r="G497" s="31" t="n"/>
    </row>
    <row r="498">
      <c r="A498" s="32" t="n"/>
      <c r="B498" s="6" t="n"/>
      <c r="C498" s="6" t="n"/>
      <c r="D498" s="18" t="n"/>
      <c r="E498" s="18" t="n"/>
      <c r="F498" s="18" t="n"/>
      <c r="G498" s="18" t="n"/>
    </row>
    <row r="499">
      <c r="A499" s="29" t="n"/>
      <c r="B499" s="30" t="n"/>
      <c r="C499" s="30" t="n"/>
      <c r="D499" s="31" t="n"/>
      <c r="E499" s="31" t="n"/>
      <c r="F499" s="31" t="n"/>
      <c r="G499" s="31" t="n"/>
    </row>
    <row r="500">
      <c r="A500" s="32" t="n"/>
      <c r="B500" s="6" t="n"/>
      <c r="C500" s="6" t="n"/>
      <c r="D500" s="18" t="n"/>
      <c r="E500" s="18" t="n"/>
      <c r="F500" s="18" t="n"/>
      <c r="G500" s="18" t="n"/>
    </row>
    <row r="501">
      <c r="A501" s="29" t="n"/>
      <c r="B501" s="30" t="n"/>
      <c r="C501" s="30" t="n"/>
      <c r="D501" s="31" t="n"/>
      <c r="E501" s="31" t="n"/>
      <c r="F501" s="31" t="n"/>
      <c r="G501" s="31" t="n"/>
    </row>
    <row r="502">
      <c r="A502" s="32" t="n"/>
      <c r="B502" s="6" t="n"/>
      <c r="C502" s="6" t="n"/>
      <c r="D502" s="18" t="n"/>
      <c r="E502" s="18" t="n"/>
      <c r="F502" s="18" t="n"/>
      <c r="G502" s="18" t="n"/>
    </row>
  </sheetData>
  <mergeCells count="1">
    <mergeCell ref="A1:G1"/>
  </mergeCells>
  <dataValidations count="2">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showDropDown="0" showInputMessage="0" showErrorMessage="0" allowBlank="1" type="list">
      <formula1>"Raya Hightower,Anu Vijay Anand,Aadhya Gone,Sumeyah Khan,Maria Mujeeb,Jace Ratliff,Evan Allen,Sai Neelagiri,Fletcher Meese,Elijah Aldaco,Cain Gutierrez,Grayson Barnhart,Abel Abraham,John Joby,Jason Bean"</formula1>
    </dataValidation>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showDropDown="0" showInputMessage="0" showErrorMessage="0" allowBlank="1" type="list">
      <formula1>"Social Skills,Speech,OT,Counseling,Inclusion Support"</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1F3864"/>
    <outlinePr summaryBelow="1" summaryRight="1"/>
    <pageSetUpPr fitToPage="1"/>
  </sheetPr>
  <dimension ref="A1:N9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33" t="inlineStr">
        <is>
          <t>Year Summary — SPED Minute Tracker</t>
        </is>
      </c>
    </row>
    <row r="3">
      <c r="A3" s="34" t="inlineStr">
        <is>
          <t>Social Skills</t>
        </is>
      </c>
    </row>
    <row r="4">
      <c r="A4" s="17" t="inlineStr">
        <is>
          <t>Student Name</t>
        </is>
      </c>
      <c r="B4" s="17" t="inlineStr">
        <is>
          <t>Q1 Met</t>
        </is>
      </c>
      <c r="C4" s="17" t="inlineStr">
        <is>
          <t>Q2 Met</t>
        </is>
      </c>
      <c r="D4" s="17" t="inlineStr">
        <is>
          <t>Q3 Met</t>
        </is>
      </c>
      <c r="E4" s="17" t="inlineStr">
        <is>
          <t>Q4 Met</t>
        </is>
      </c>
      <c r="F4" s="17" t="inlineStr">
        <is>
          <t>Year Total</t>
        </is>
      </c>
      <c r="G4" s="17" t="inlineStr">
        <is>
          <t>Q1 IEP</t>
        </is>
      </c>
      <c r="H4" s="17" t="inlineStr">
        <is>
          <t>Q2 IEP</t>
        </is>
      </c>
      <c r="I4" s="17" t="inlineStr">
        <is>
          <t>Q3 IEP</t>
        </is>
      </c>
      <c r="J4" s="17" t="inlineStr">
        <is>
          <t>Q4 IEP</t>
        </is>
      </c>
      <c r="K4" s="17" t="inlineStr">
        <is>
          <t>Annual IEP</t>
        </is>
      </c>
      <c r="L4" s="17" t="inlineStr">
        <is>
          <t>Year %</t>
        </is>
      </c>
      <c r="M4" s="17" t="inlineStr">
        <is>
          <t>Total Sess</t>
        </is>
      </c>
      <c r="N4" s="17" t="inlineStr">
        <is>
          <t>Total Abs</t>
        </is>
      </c>
    </row>
    <row r="5">
      <c r="A5" s="18" t="inlineStr">
        <is>
          <t>Raya Hightower</t>
        </is>
      </c>
      <c r="B5" s="19">
        <f>'Social Skills'!V5</f>
        <v/>
      </c>
      <c r="C5" s="19">
        <f>'Social Skills'!V24</f>
        <v/>
      </c>
      <c r="D5" s="19">
        <f>'Social Skills'!V43</f>
        <v/>
      </c>
      <c r="E5" s="19">
        <f>'Social Skills'!V62</f>
        <v/>
      </c>
      <c r="F5" s="20">
        <f>SUM(B5:E5)</f>
        <v/>
      </c>
      <c r="G5" s="19">
        <f>'Social Skills'!Y5</f>
        <v/>
      </c>
      <c r="H5" s="19">
        <f>'Social Skills'!Y24</f>
        <v/>
      </c>
      <c r="I5" s="19">
        <f>'Social Skills'!Y43</f>
        <v/>
      </c>
      <c r="J5" s="19">
        <f>'Social Skills'!Y62</f>
        <v/>
      </c>
      <c r="K5" s="20">
        <f>SUM(G5:J5)</f>
        <v/>
      </c>
      <c r="L5" s="21">
        <f>IF(K5=0,"",F5/K5)</f>
        <v/>
      </c>
      <c r="M5" s="19">
        <f>'Social Skills'!W5+'Social Skills'!W24+'Social Skills'!W43+'Social Skills'!W62</f>
        <v/>
      </c>
      <c r="N5" s="19">
        <f>'Social Skills'!X5+'Social Skills'!X24+'Social Skills'!X43+'Social Skills'!X62</f>
        <v/>
      </c>
    </row>
    <row r="6">
      <c r="A6" s="18" t="inlineStr">
        <is>
          <t>Anu Vijay Anand</t>
        </is>
      </c>
      <c r="B6" s="19">
        <f>'Social Skills'!V6</f>
        <v/>
      </c>
      <c r="C6" s="19">
        <f>'Social Skills'!V25</f>
        <v/>
      </c>
      <c r="D6" s="19">
        <f>'Social Skills'!V44</f>
        <v/>
      </c>
      <c r="E6" s="19">
        <f>'Social Skills'!V63</f>
        <v/>
      </c>
      <c r="F6" s="20">
        <f>SUM(B6:E6)</f>
        <v/>
      </c>
      <c r="G6" s="19">
        <f>'Social Skills'!Y6</f>
        <v/>
      </c>
      <c r="H6" s="19">
        <f>'Social Skills'!Y25</f>
        <v/>
      </c>
      <c r="I6" s="19">
        <f>'Social Skills'!Y44</f>
        <v/>
      </c>
      <c r="J6" s="19">
        <f>'Social Skills'!Y63</f>
        <v/>
      </c>
      <c r="K6" s="20">
        <f>SUM(G6:J6)</f>
        <v/>
      </c>
      <c r="L6" s="21">
        <f>IF(K6=0,"",F6/K6)</f>
        <v/>
      </c>
      <c r="M6" s="19">
        <f>'Social Skills'!W6+'Social Skills'!W25+'Social Skills'!W44+'Social Skills'!W63</f>
        <v/>
      </c>
      <c r="N6" s="19">
        <f>'Social Skills'!X6+'Social Skills'!X25+'Social Skills'!X44+'Social Skills'!X63</f>
        <v/>
      </c>
    </row>
    <row r="7">
      <c r="A7" s="18" t="inlineStr">
        <is>
          <t>Aadhya Gone</t>
        </is>
      </c>
      <c r="B7" s="19">
        <f>'Social Skills'!V7</f>
        <v/>
      </c>
      <c r="C7" s="19">
        <f>'Social Skills'!V26</f>
        <v/>
      </c>
      <c r="D7" s="19">
        <f>'Social Skills'!V45</f>
        <v/>
      </c>
      <c r="E7" s="19">
        <f>'Social Skills'!V64</f>
        <v/>
      </c>
      <c r="F7" s="20">
        <f>SUM(B7:E7)</f>
        <v/>
      </c>
      <c r="G7" s="19">
        <f>'Social Skills'!Y7</f>
        <v/>
      </c>
      <c r="H7" s="19">
        <f>'Social Skills'!Y26</f>
        <v/>
      </c>
      <c r="I7" s="19">
        <f>'Social Skills'!Y45</f>
        <v/>
      </c>
      <c r="J7" s="19">
        <f>'Social Skills'!Y64</f>
        <v/>
      </c>
      <c r="K7" s="20">
        <f>SUM(G7:J7)</f>
        <v/>
      </c>
      <c r="L7" s="21">
        <f>IF(K7=0,"",F7/K7)</f>
        <v/>
      </c>
      <c r="M7" s="19">
        <f>'Social Skills'!W7+'Social Skills'!W26+'Social Skills'!W45+'Social Skills'!W64</f>
        <v/>
      </c>
      <c r="N7" s="19">
        <f>'Social Skills'!X7+'Social Skills'!X26+'Social Skills'!X45+'Social Skills'!X64</f>
        <v/>
      </c>
    </row>
    <row r="8">
      <c r="A8" s="18" t="inlineStr">
        <is>
          <t>Sumeyah Khan</t>
        </is>
      </c>
      <c r="B8" s="19">
        <f>'Social Skills'!V8</f>
        <v/>
      </c>
      <c r="C8" s="19">
        <f>'Social Skills'!V27</f>
        <v/>
      </c>
      <c r="D8" s="19">
        <f>'Social Skills'!V46</f>
        <v/>
      </c>
      <c r="E8" s="19">
        <f>'Social Skills'!V65</f>
        <v/>
      </c>
      <c r="F8" s="20">
        <f>SUM(B8:E8)</f>
        <v/>
      </c>
      <c r="G8" s="19">
        <f>'Social Skills'!Y8</f>
        <v/>
      </c>
      <c r="H8" s="19">
        <f>'Social Skills'!Y27</f>
        <v/>
      </c>
      <c r="I8" s="19">
        <f>'Social Skills'!Y46</f>
        <v/>
      </c>
      <c r="J8" s="19">
        <f>'Social Skills'!Y65</f>
        <v/>
      </c>
      <c r="K8" s="20">
        <f>SUM(G8:J8)</f>
        <v/>
      </c>
      <c r="L8" s="21">
        <f>IF(K8=0,"",F8/K8)</f>
        <v/>
      </c>
      <c r="M8" s="19">
        <f>'Social Skills'!W8+'Social Skills'!W27+'Social Skills'!W46+'Social Skills'!W65</f>
        <v/>
      </c>
      <c r="N8" s="19">
        <f>'Social Skills'!X8+'Social Skills'!X27+'Social Skills'!X46+'Social Skills'!X65</f>
        <v/>
      </c>
    </row>
    <row r="9">
      <c r="A9" s="18" t="inlineStr">
        <is>
          <t>Maria Mujeeb</t>
        </is>
      </c>
      <c r="B9" s="19">
        <f>'Social Skills'!V9</f>
        <v/>
      </c>
      <c r="C9" s="19">
        <f>'Social Skills'!V28</f>
        <v/>
      </c>
      <c r="D9" s="19">
        <f>'Social Skills'!V47</f>
        <v/>
      </c>
      <c r="E9" s="19">
        <f>'Social Skills'!V66</f>
        <v/>
      </c>
      <c r="F9" s="20">
        <f>SUM(B9:E9)</f>
        <v/>
      </c>
      <c r="G9" s="19">
        <f>'Social Skills'!Y9</f>
        <v/>
      </c>
      <c r="H9" s="19">
        <f>'Social Skills'!Y28</f>
        <v/>
      </c>
      <c r="I9" s="19">
        <f>'Social Skills'!Y47</f>
        <v/>
      </c>
      <c r="J9" s="19">
        <f>'Social Skills'!Y66</f>
        <v/>
      </c>
      <c r="K9" s="20">
        <f>SUM(G9:J9)</f>
        <v/>
      </c>
      <c r="L9" s="21">
        <f>IF(K9=0,"",F9/K9)</f>
        <v/>
      </c>
      <c r="M9" s="19">
        <f>'Social Skills'!W9+'Social Skills'!W28+'Social Skills'!W47+'Social Skills'!W66</f>
        <v/>
      </c>
      <c r="N9" s="19">
        <f>'Social Skills'!X9+'Social Skills'!X28+'Social Skills'!X47+'Social Skills'!X66</f>
        <v/>
      </c>
    </row>
    <row r="10">
      <c r="A10" s="18" t="inlineStr">
        <is>
          <t>Jace Ratliff</t>
        </is>
      </c>
      <c r="B10" s="19">
        <f>'Social Skills'!V10</f>
        <v/>
      </c>
      <c r="C10" s="19">
        <f>'Social Skills'!V29</f>
        <v/>
      </c>
      <c r="D10" s="19">
        <f>'Social Skills'!V48</f>
        <v/>
      </c>
      <c r="E10" s="19">
        <f>'Social Skills'!V67</f>
        <v/>
      </c>
      <c r="F10" s="20">
        <f>SUM(B10:E10)</f>
        <v/>
      </c>
      <c r="G10" s="19">
        <f>'Social Skills'!Y10</f>
        <v/>
      </c>
      <c r="H10" s="19">
        <f>'Social Skills'!Y29</f>
        <v/>
      </c>
      <c r="I10" s="19">
        <f>'Social Skills'!Y48</f>
        <v/>
      </c>
      <c r="J10" s="19">
        <f>'Social Skills'!Y67</f>
        <v/>
      </c>
      <c r="K10" s="20">
        <f>SUM(G10:J10)</f>
        <v/>
      </c>
      <c r="L10" s="21">
        <f>IF(K10=0,"",F10/K10)</f>
        <v/>
      </c>
      <c r="M10" s="19">
        <f>'Social Skills'!W10+'Social Skills'!W29+'Social Skills'!W48+'Social Skills'!W67</f>
        <v/>
      </c>
      <c r="N10" s="19">
        <f>'Social Skills'!X10+'Social Skills'!X29+'Social Skills'!X48+'Social Skills'!X67</f>
        <v/>
      </c>
    </row>
    <row r="11">
      <c r="A11" s="18" t="inlineStr">
        <is>
          <t>Evan Allen</t>
        </is>
      </c>
      <c r="B11" s="19">
        <f>'Social Skills'!V11</f>
        <v/>
      </c>
      <c r="C11" s="19">
        <f>'Social Skills'!V30</f>
        <v/>
      </c>
      <c r="D11" s="19">
        <f>'Social Skills'!V49</f>
        <v/>
      </c>
      <c r="E11" s="19">
        <f>'Social Skills'!V68</f>
        <v/>
      </c>
      <c r="F11" s="20">
        <f>SUM(B11:E11)</f>
        <v/>
      </c>
      <c r="G11" s="19">
        <f>'Social Skills'!Y11</f>
        <v/>
      </c>
      <c r="H11" s="19">
        <f>'Social Skills'!Y30</f>
        <v/>
      </c>
      <c r="I11" s="19">
        <f>'Social Skills'!Y49</f>
        <v/>
      </c>
      <c r="J11" s="19">
        <f>'Social Skills'!Y68</f>
        <v/>
      </c>
      <c r="K11" s="20">
        <f>SUM(G11:J11)</f>
        <v/>
      </c>
      <c r="L11" s="21">
        <f>IF(K11=0,"",F11/K11)</f>
        <v/>
      </c>
      <c r="M11" s="19">
        <f>'Social Skills'!W11+'Social Skills'!W30+'Social Skills'!W49+'Social Skills'!W68</f>
        <v/>
      </c>
      <c r="N11" s="19">
        <f>'Social Skills'!X11+'Social Skills'!X30+'Social Skills'!X49+'Social Skills'!X68</f>
        <v/>
      </c>
    </row>
    <row r="12">
      <c r="A12" s="18" t="inlineStr">
        <is>
          <t>Sai Neelagiri</t>
        </is>
      </c>
      <c r="B12" s="19">
        <f>'Social Skills'!V12</f>
        <v/>
      </c>
      <c r="C12" s="19">
        <f>'Social Skills'!V31</f>
        <v/>
      </c>
      <c r="D12" s="19">
        <f>'Social Skills'!V50</f>
        <v/>
      </c>
      <c r="E12" s="19">
        <f>'Social Skills'!V69</f>
        <v/>
      </c>
      <c r="F12" s="20">
        <f>SUM(B12:E12)</f>
        <v/>
      </c>
      <c r="G12" s="19">
        <f>'Social Skills'!Y12</f>
        <v/>
      </c>
      <c r="H12" s="19">
        <f>'Social Skills'!Y31</f>
        <v/>
      </c>
      <c r="I12" s="19">
        <f>'Social Skills'!Y50</f>
        <v/>
      </c>
      <c r="J12" s="19">
        <f>'Social Skills'!Y69</f>
        <v/>
      </c>
      <c r="K12" s="20">
        <f>SUM(G12:J12)</f>
        <v/>
      </c>
      <c r="L12" s="21">
        <f>IF(K12=0,"",F12/K12)</f>
        <v/>
      </c>
      <c r="M12" s="19">
        <f>'Social Skills'!W12+'Social Skills'!W31+'Social Skills'!W50+'Social Skills'!W69</f>
        <v/>
      </c>
      <c r="N12" s="19">
        <f>'Social Skills'!X12+'Social Skills'!X31+'Social Skills'!X50+'Social Skills'!X69</f>
        <v/>
      </c>
    </row>
    <row r="13">
      <c r="A13" s="18" t="inlineStr">
        <is>
          <t>Fletcher Meese</t>
        </is>
      </c>
      <c r="B13" s="19">
        <f>'Social Skills'!V13</f>
        <v/>
      </c>
      <c r="C13" s="19">
        <f>'Social Skills'!V32</f>
        <v/>
      </c>
      <c r="D13" s="19">
        <f>'Social Skills'!V51</f>
        <v/>
      </c>
      <c r="E13" s="19">
        <f>'Social Skills'!V70</f>
        <v/>
      </c>
      <c r="F13" s="20">
        <f>SUM(B13:E13)</f>
        <v/>
      </c>
      <c r="G13" s="19">
        <f>'Social Skills'!Y13</f>
        <v/>
      </c>
      <c r="H13" s="19">
        <f>'Social Skills'!Y32</f>
        <v/>
      </c>
      <c r="I13" s="19">
        <f>'Social Skills'!Y51</f>
        <v/>
      </c>
      <c r="J13" s="19">
        <f>'Social Skills'!Y70</f>
        <v/>
      </c>
      <c r="K13" s="20">
        <f>SUM(G13:J13)</f>
        <v/>
      </c>
      <c r="L13" s="21">
        <f>IF(K13=0,"",F13/K13)</f>
        <v/>
      </c>
      <c r="M13" s="19">
        <f>'Social Skills'!W13+'Social Skills'!W32+'Social Skills'!W51+'Social Skills'!W70</f>
        <v/>
      </c>
      <c r="N13" s="19">
        <f>'Social Skills'!X13+'Social Skills'!X32+'Social Skills'!X51+'Social Skills'!X70</f>
        <v/>
      </c>
    </row>
    <row r="14">
      <c r="A14" s="18" t="inlineStr">
        <is>
          <t>Elijah Aldaco</t>
        </is>
      </c>
      <c r="B14" s="19">
        <f>'Social Skills'!V14</f>
        <v/>
      </c>
      <c r="C14" s="19">
        <f>'Social Skills'!V33</f>
        <v/>
      </c>
      <c r="D14" s="19">
        <f>'Social Skills'!V52</f>
        <v/>
      </c>
      <c r="E14" s="19">
        <f>'Social Skills'!V71</f>
        <v/>
      </c>
      <c r="F14" s="20">
        <f>SUM(B14:E14)</f>
        <v/>
      </c>
      <c r="G14" s="19">
        <f>'Social Skills'!Y14</f>
        <v/>
      </c>
      <c r="H14" s="19">
        <f>'Social Skills'!Y33</f>
        <v/>
      </c>
      <c r="I14" s="19">
        <f>'Social Skills'!Y52</f>
        <v/>
      </c>
      <c r="J14" s="19">
        <f>'Social Skills'!Y71</f>
        <v/>
      </c>
      <c r="K14" s="20">
        <f>SUM(G14:J14)</f>
        <v/>
      </c>
      <c r="L14" s="21">
        <f>IF(K14=0,"",F14/K14)</f>
        <v/>
      </c>
      <c r="M14" s="19">
        <f>'Social Skills'!W14+'Social Skills'!W33+'Social Skills'!W52+'Social Skills'!W71</f>
        <v/>
      </c>
      <c r="N14" s="19">
        <f>'Social Skills'!X14+'Social Skills'!X33+'Social Skills'!X52+'Social Skills'!X71</f>
        <v/>
      </c>
    </row>
    <row r="15">
      <c r="A15" s="18" t="inlineStr">
        <is>
          <t>Cain Gutierrez</t>
        </is>
      </c>
      <c r="B15" s="19">
        <f>'Social Skills'!V15</f>
        <v/>
      </c>
      <c r="C15" s="19">
        <f>'Social Skills'!V34</f>
        <v/>
      </c>
      <c r="D15" s="19">
        <f>'Social Skills'!V53</f>
        <v/>
      </c>
      <c r="E15" s="19">
        <f>'Social Skills'!V72</f>
        <v/>
      </c>
      <c r="F15" s="20">
        <f>SUM(B15:E15)</f>
        <v/>
      </c>
      <c r="G15" s="19">
        <f>'Social Skills'!Y15</f>
        <v/>
      </c>
      <c r="H15" s="19">
        <f>'Social Skills'!Y34</f>
        <v/>
      </c>
      <c r="I15" s="19">
        <f>'Social Skills'!Y53</f>
        <v/>
      </c>
      <c r="J15" s="19">
        <f>'Social Skills'!Y72</f>
        <v/>
      </c>
      <c r="K15" s="20">
        <f>SUM(G15:J15)</f>
        <v/>
      </c>
      <c r="L15" s="21">
        <f>IF(K15=0,"",F15/K15)</f>
        <v/>
      </c>
      <c r="M15" s="19">
        <f>'Social Skills'!W15+'Social Skills'!W34+'Social Skills'!W53+'Social Skills'!W72</f>
        <v/>
      </c>
      <c r="N15" s="19">
        <f>'Social Skills'!X15+'Social Skills'!X34+'Social Skills'!X53+'Social Skills'!X72</f>
        <v/>
      </c>
    </row>
    <row r="16">
      <c r="A16" s="18" t="inlineStr">
        <is>
          <t>Grayson Barnhart</t>
        </is>
      </c>
      <c r="B16" s="19">
        <f>'Social Skills'!V16</f>
        <v/>
      </c>
      <c r="C16" s="19">
        <f>'Social Skills'!V35</f>
        <v/>
      </c>
      <c r="D16" s="19">
        <f>'Social Skills'!V54</f>
        <v/>
      </c>
      <c r="E16" s="19">
        <f>'Social Skills'!V73</f>
        <v/>
      </c>
      <c r="F16" s="20">
        <f>SUM(B16:E16)</f>
        <v/>
      </c>
      <c r="G16" s="19">
        <f>'Social Skills'!Y16</f>
        <v/>
      </c>
      <c r="H16" s="19">
        <f>'Social Skills'!Y35</f>
        <v/>
      </c>
      <c r="I16" s="19">
        <f>'Social Skills'!Y54</f>
        <v/>
      </c>
      <c r="J16" s="19">
        <f>'Social Skills'!Y73</f>
        <v/>
      </c>
      <c r="K16" s="20">
        <f>SUM(G16:J16)</f>
        <v/>
      </c>
      <c r="L16" s="21">
        <f>IF(K16=0,"",F16/K16)</f>
        <v/>
      </c>
      <c r="M16" s="19">
        <f>'Social Skills'!W16+'Social Skills'!W35+'Social Skills'!W54+'Social Skills'!W73</f>
        <v/>
      </c>
      <c r="N16" s="19">
        <f>'Social Skills'!X16+'Social Skills'!X35+'Social Skills'!X54+'Social Skills'!X73</f>
        <v/>
      </c>
    </row>
    <row r="17">
      <c r="A17" s="18" t="inlineStr">
        <is>
          <t>Abel Abraham</t>
        </is>
      </c>
      <c r="B17" s="19">
        <f>'Social Skills'!V17</f>
        <v/>
      </c>
      <c r="C17" s="19">
        <f>'Social Skills'!V36</f>
        <v/>
      </c>
      <c r="D17" s="19">
        <f>'Social Skills'!V55</f>
        <v/>
      </c>
      <c r="E17" s="19">
        <f>'Social Skills'!V74</f>
        <v/>
      </c>
      <c r="F17" s="20">
        <f>SUM(B17:E17)</f>
        <v/>
      </c>
      <c r="G17" s="19">
        <f>'Social Skills'!Y17</f>
        <v/>
      </c>
      <c r="H17" s="19">
        <f>'Social Skills'!Y36</f>
        <v/>
      </c>
      <c r="I17" s="19">
        <f>'Social Skills'!Y55</f>
        <v/>
      </c>
      <c r="J17" s="19">
        <f>'Social Skills'!Y74</f>
        <v/>
      </c>
      <c r="K17" s="20">
        <f>SUM(G17:J17)</f>
        <v/>
      </c>
      <c r="L17" s="21">
        <f>IF(K17=0,"",F17/K17)</f>
        <v/>
      </c>
      <c r="M17" s="19">
        <f>'Social Skills'!W17+'Social Skills'!W36+'Social Skills'!W55+'Social Skills'!W74</f>
        <v/>
      </c>
      <c r="N17" s="19">
        <f>'Social Skills'!X17+'Social Skills'!X36+'Social Skills'!X55+'Social Skills'!X74</f>
        <v/>
      </c>
    </row>
    <row r="18">
      <c r="A18" s="18" t="inlineStr">
        <is>
          <t>John Joby</t>
        </is>
      </c>
      <c r="B18" s="19">
        <f>'Social Skills'!V18</f>
        <v/>
      </c>
      <c r="C18" s="19">
        <f>'Social Skills'!V37</f>
        <v/>
      </c>
      <c r="D18" s="19">
        <f>'Social Skills'!V56</f>
        <v/>
      </c>
      <c r="E18" s="19">
        <f>'Social Skills'!V75</f>
        <v/>
      </c>
      <c r="F18" s="20">
        <f>SUM(B18:E18)</f>
        <v/>
      </c>
      <c r="G18" s="19">
        <f>'Social Skills'!Y18</f>
        <v/>
      </c>
      <c r="H18" s="19">
        <f>'Social Skills'!Y37</f>
        <v/>
      </c>
      <c r="I18" s="19">
        <f>'Social Skills'!Y56</f>
        <v/>
      </c>
      <c r="J18" s="19">
        <f>'Social Skills'!Y75</f>
        <v/>
      </c>
      <c r="K18" s="20">
        <f>SUM(G18:J18)</f>
        <v/>
      </c>
      <c r="L18" s="21">
        <f>IF(K18=0,"",F18/K18)</f>
        <v/>
      </c>
      <c r="M18" s="19">
        <f>'Social Skills'!W18+'Social Skills'!W37+'Social Skills'!W56+'Social Skills'!W75</f>
        <v/>
      </c>
      <c r="N18" s="19">
        <f>'Social Skills'!X18+'Social Skills'!X37+'Social Skills'!X56+'Social Skills'!X75</f>
        <v/>
      </c>
    </row>
    <row r="19">
      <c r="A19" s="18" t="inlineStr">
        <is>
          <t>Jason Bean</t>
        </is>
      </c>
      <c r="B19" s="19">
        <f>'Social Skills'!V19</f>
        <v/>
      </c>
      <c r="C19" s="19">
        <f>'Social Skills'!V38</f>
        <v/>
      </c>
      <c r="D19" s="19">
        <f>'Social Skills'!V57</f>
        <v/>
      </c>
      <c r="E19" s="19">
        <f>'Social Skills'!V76</f>
        <v/>
      </c>
      <c r="F19" s="20">
        <f>SUM(B19:E19)</f>
        <v/>
      </c>
      <c r="G19" s="19">
        <f>'Social Skills'!Y19</f>
        <v/>
      </c>
      <c r="H19" s="19">
        <f>'Social Skills'!Y38</f>
        <v/>
      </c>
      <c r="I19" s="19">
        <f>'Social Skills'!Y57</f>
        <v/>
      </c>
      <c r="J19" s="19">
        <f>'Social Skills'!Y76</f>
        <v/>
      </c>
      <c r="K19" s="20">
        <f>SUM(G19:J19)</f>
        <v/>
      </c>
      <c r="L19" s="21">
        <f>IF(K19=0,"",F19/K19)</f>
        <v/>
      </c>
      <c r="M19" s="19">
        <f>'Social Skills'!W19+'Social Skills'!W38+'Social Skills'!W57+'Social Skills'!W76</f>
        <v/>
      </c>
      <c r="N19" s="19">
        <f>'Social Skills'!X19+'Social Skills'!X38+'Social Skills'!X57+'Social Skills'!X76</f>
        <v/>
      </c>
    </row>
    <row r="21">
      <c r="A21" s="35" t="inlineStr">
        <is>
          <t>Speech</t>
        </is>
      </c>
    </row>
    <row r="22">
      <c r="A22" s="17" t="inlineStr">
        <is>
          <t>Student Name</t>
        </is>
      </c>
      <c r="B22" s="17" t="inlineStr">
        <is>
          <t>Q1 Met</t>
        </is>
      </c>
      <c r="C22" s="17" t="inlineStr">
        <is>
          <t>Q2 Met</t>
        </is>
      </c>
      <c r="D22" s="17" t="inlineStr">
        <is>
          <t>Q3 Met</t>
        </is>
      </c>
      <c r="E22" s="17" t="inlineStr">
        <is>
          <t>Q4 Met</t>
        </is>
      </c>
      <c r="F22" s="17" t="inlineStr">
        <is>
          <t>Year Total</t>
        </is>
      </c>
      <c r="G22" s="17" t="inlineStr">
        <is>
          <t>Q1 IEP</t>
        </is>
      </c>
      <c r="H22" s="17" t="inlineStr">
        <is>
          <t>Q2 IEP</t>
        </is>
      </c>
      <c r="I22" s="17" t="inlineStr">
        <is>
          <t>Q3 IEP</t>
        </is>
      </c>
      <c r="J22" s="17" t="inlineStr">
        <is>
          <t>Q4 IEP</t>
        </is>
      </c>
      <c r="K22" s="17" t="inlineStr">
        <is>
          <t>Annual IEP</t>
        </is>
      </c>
      <c r="L22" s="17" t="inlineStr">
        <is>
          <t>Year %</t>
        </is>
      </c>
      <c r="M22" s="17" t="inlineStr">
        <is>
          <t>Total Sess</t>
        </is>
      </c>
      <c r="N22" s="17" t="inlineStr">
        <is>
          <t>Total Abs</t>
        </is>
      </c>
    </row>
    <row r="23">
      <c r="A23" s="18" t="inlineStr">
        <is>
          <t>Raya Hightower</t>
        </is>
      </c>
      <c r="B23" s="19">
        <f>'Speech'!V5</f>
        <v/>
      </c>
      <c r="C23" s="19">
        <f>'Speech'!V24</f>
        <v/>
      </c>
      <c r="D23" s="19">
        <f>'Speech'!V43</f>
        <v/>
      </c>
      <c r="E23" s="19">
        <f>'Speech'!V62</f>
        <v/>
      </c>
      <c r="F23" s="20">
        <f>SUM(B23:E23)</f>
        <v/>
      </c>
      <c r="G23" s="19">
        <f>'Speech'!Y5</f>
        <v/>
      </c>
      <c r="H23" s="19">
        <f>'Speech'!Y24</f>
        <v/>
      </c>
      <c r="I23" s="19">
        <f>'Speech'!Y43</f>
        <v/>
      </c>
      <c r="J23" s="19">
        <f>'Speech'!Y62</f>
        <v/>
      </c>
      <c r="K23" s="20">
        <f>SUM(G23:J23)</f>
        <v/>
      </c>
      <c r="L23" s="21">
        <f>IF(K23=0,"",F23/K23)</f>
        <v/>
      </c>
      <c r="M23" s="19">
        <f>'Speech'!W5+'Speech'!W24+'Speech'!W43+'Speech'!W62</f>
        <v/>
      </c>
      <c r="N23" s="19">
        <f>'Speech'!X5+'Speech'!X24+'Speech'!X43+'Speech'!X62</f>
        <v/>
      </c>
    </row>
    <row r="24">
      <c r="A24" s="18" t="inlineStr">
        <is>
          <t>Anu Vijay Anand</t>
        </is>
      </c>
      <c r="B24" s="19">
        <f>'Speech'!V6</f>
        <v/>
      </c>
      <c r="C24" s="19">
        <f>'Speech'!V25</f>
        <v/>
      </c>
      <c r="D24" s="19">
        <f>'Speech'!V44</f>
        <v/>
      </c>
      <c r="E24" s="19">
        <f>'Speech'!V63</f>
        <v/>
      </c>
      <c r="F24" s="20">
        <f>SUM(B24:E24)</f>
        <v/>
      </c>
      <c r="G24" s="19">
        <f>'Speech'!Y6</f>
        <v/>
      </c>
      <c r="H24" s="19">
        <f>'Speech'!Y25</f>
        <v/>
      </c>
      <c r="I24" s="19">
        <f>'Speech'!Y44</f>
        <v/>
      </c>
      <c r="J24" s="19">
        <f>'Speech'!Y63</f>
        <v/>
      </c>
      <c r="K24" s="20">
        <f>SUM(G24:J24)</f>
        <v/>
      </c>
      <c r="L24" s="21">
        <f>IF(K24=0,"",F24/K24)</f>
        <v/>
      </c>
      <c r="M24" s="19">
        <f>'Speech'!W6+'Speech'!W25+'Speech'!W44+'Speech'!W63</f>
        <v/>
      </c>
      <c r="N24" s="19">
        <f>'Speech'!X6+'Speech'!X25+'Speech'!X44+'Speech'!X63</f>
        <v/>
      </c>
    </row>
    <row r="25">
      <c r="A25" s="18" t="inlineStr">
        <is>
          <t>Aadhya Gone</t>
        </is>
      </c>
      <c r="B25" s="19">
        <f>'Speech'!V7</f>
        <v/>
      </c>
      <c r="C25" s="19">
        <f>'Speech'!V26</f>
        <v/>
      </c>
      <c r="D25" s="19">
        <f>'Speech'!V45</f>
        <v/>
      </c>
      <c r="E25" s="19">
        <f>'Speech'!V64</f>
        <v/>
      </c>
      <c r="F25" s="20">
        <f>SUM(B25:E25)</f>
        <v/>
      </c>
      <c r="G25" s="19">
        <f>'Speech'!Y7</f>
        <v/>
      </c>
      <c r="H25" s="19">
        <f>'Speech'!Y26</f>
        <v/>
      </c>
      <c r="I25" s="19">
        <f>'Speech'!Y45</f>
        <v/>
      </c>
      <c r="J25" s="19">
        <f>'Speech'!Y64</f>
        <v/>
      </c>
      <c r="K25" s="20">
        <f>SUM(G25:J25)</f>
        <v/>
      </c>
      <c r="L25" s="21">
        <f>IF(K25=0,"",F25/K25)</f>
        <v/>
      </c>
      <c r="M25" s="19">
        <f>'Speech'!W7+'Speech'!W26+'Speech'!W45+'Speech'!W64</f>
        <v/>
      </c>
      <c r="N25" s="19">
        <f>'Speech'!X7+'Speech'!X26+'Speech'!X45+'Speech'!X64</f>
        <v/>
      </c>
    </row>
    <row r="26">
      <c r="A26" s="18" t="inlineStr">
        <is>
          <t>Sumeyah Khan</t>
        </is>
      </c>
      <c r="B26" s="19">
        <f>'Speech'!V8</f>
        <v/>
      </c>
      <c r="C26" s="19">
        <f>'Speech'!V27</f>
        <v/>
      </c>
      <c r="D26" s="19">
        <f>'Speech'!V46</f>
        <v/>
      </c>
      <c r="E26" s="19">
        <f>'Speech'!V65</f>
        <v/>
      </c>
      <c r="F26" s="20">
        <f>SUM(B26:E26)</f>
        <v/>
      </c>
      <c r="G26" s="19">
        <f>'Speech'!Y8</f>
        <v/>
      </c>
      <c r="H26" s="19">
        <f>'Speech'!Y27</f>
        <v/>
      </c>
      <c r="I26" s="19">
        <f>'Speech'!Y46</f>
        <v/>
      </c>
      <c r="J26" s="19">
        <f>'Speech'!Y65</f>
        <v/>
      </c>
      <c r="K26" s="20">
        <f>SUM(G26:J26)</f>
        <v/>
      </c>
      <c r="L26" s="21">
        <f>IF(K26=0,"",F26/K26)</f>
        <v/>
      </c>
      <c r="M26" s="19">
        <f>'Speech'!W8+'Speech'!W27+'Speech'!W46+'Speech'!W65</f>
        <v/>
      </c>
      <c r="N26" s="19">
        <f>'Speech'!X8+'Speech'!X27+'Speech'!X46+'Speech'!X65</f>
        <v/>
      </c>
    </row>
    <row r="27">
      <c r="A27" s="18" t="inlineStr">
        <is>
          <t>Maria Mujeeb</t>
        </is>
      </c>
      <c r="B27" s="19">
        <f>'Speech'!V9</f>
        <v/>
      </c>
      <c r="C27" s="19">
        <f>'Speech'!V28</f>
        <v/>
      </c>
      <c r="D27" s="19">
        <f>'Speech'!V47</f>
        <v/>
      </c>
      <c r="E27" s="19">
        <f>'Speech'!V66</f>
        <v/>
      </c>
      <c r="F27" s="20">
        <f>SUM(B27:E27)</f>
        <v/>
      </c>
      <c r="G27" s="19">
        <f>'Speech'!Y9</f>
        <v/>
      </c>
      <c r="H27" s="19">
        <f>'Speech'!Y28</f>
        <v/>
      </c>
      <c r="I27" s="19">
        <f>'Speech'!Y47</f>
        <v/>
      </c>
      <c r="J27" s="19">
        <f>'Speech'!Y66</f>
        <v/>
      </c>
      <c r="K27" s="20">
        <f>SUM(G27:J27)</f>
        <v/>
      </c>
      <c r="L27" s="21">
        <f>IF(K27=0,"",F27/K27)</f>
        <v/>
      </c>
      <c r="M27" s="19">
        <f>'Speech'!W9+'Speech'!W28+'Speech'!W47+'Speech'!W66</f>
        <v/>
      </c>
      <c r="N27" s="19">
        <f>'Speech'!X9+'Speech'!X28+'Speech'!X47+'Speech'!X66</f>
        <v/>
      </c>
    </row>
    <row r="28">
      <c r="A28" s="18" t="inlineStr">
        <is>
          <t>Jace Ratliff</t>
        </is>
      </c>
      <c r="B28" s="19">
        <f>'Speech'!V10</f>
        <v/>
      </c>
      <c r="C28" s="19">
        <f>'Speech'!V29</f>
        <v/>
      </c>
      <c r="D28" s="19">
        <f>'Speech'!V48</f>
        <v/>
      </c>
      <c r="E28" s="19">
        <f>'Speech'!V67</f>
        <v/>
      </c>
      <c r="F28" s="20">
        <f>SUM(B28:E28)</f>
        <v/>
      </c>
      <c r="G28" s="19">
        <f>'Speech'!Y10</f>
        <v/>
      </c>
      <c r="H28" s="19">
        <f>'Speech'!Y29</f>
        <v/>
      </c>
      <c r="I28" s="19">
        <f>'Speech'!Y48</f>
        <v/>
      </c>
      <c r="J28" s="19">
        <f>'Speech'!Y67</f>
        <v/>
      </c>
      <c r="K28" s="20">
        <f>SUM(G28:J28)</f>
        <v/>
      </c>
      <c r="L28" s="21">
        <f>IF(K28=0,"",F28/K28)</f>
        <v/>
      </c>
      <c r="M28" s="19">
        <f>'Speech'!W10+'Speech'!W29+'Speech'!W48+'Speech'!W67</f>
        <v/>
      </c>
      <c r="N28" s="19">
        <f>'Speech'!X10+'Speech'!X29+'Speech'!X48+'Speech'!X67</f>
        <v/>
      </c>
    </row>
    <row r="29">
      <c r="A29" s="18" t="inlineStr">
        <is>
          <t>Evan Allen</t>
        </is>
      </c>
      <c r="B29" s="19">
        <f>'Speech'!V11</f>
        <v/>
      </c>
      <c r="C29" s="19">
        <f>'Speech'!V30</f>
        <v/>
      </c>
      <c r="D29" s="19">
        <f>'Speech'!V49</f>
        <v/>
      </c>
      <c r="E29" s="19">
        <f>'Speech'!V68</f>
        <v/>
      </c>
      <c r="F29" s="20">
        <f>SUM(B29:E29)</f>
        <v/>
      </c>
      <c r="G29" s="19">
        <f>'Speech'!Y11</f>
        <v/>
      </c>
      <c r="H29" s="19">
        <f>'Speech'!Y30</f>
        <v/>
      </c>
      <c r="I29" s="19">
        <f>'Speech'!Y49</f>
        <v/>
      </c>
      <c r="J29" s="19">
        <f>'Speech'!Y68</f>
        <v/>
      </c>
      <c r="K29" s="20">
        <f>SUM(G29:J29)</f>
        <v/>
      </c>
      <c r="L29" s="21">
        <f>IF(K29=0,"",F29/K29)</f>
        <v/>
      </c>
      <c r="M29" s="19">
        <f>'Speech'!W11+'Speech'!W30+'Speech'!W49+'Speech'!W68</f>
        <v/>
      </c>
      <c r="N29" s="19">
        <f>'Speech'!X11+'Speech'!X30+'Speech'!X49+'Speech'!X68</f>
        <v/>
      </c>
    </row>
    <row r="30">
      <c r="A30" s="18" t="inlineStr">
        <is>
          <t>Sai Neelagiri</t>
        </is>
      </c>
      <c r="B30" s="19">
        <f>'Speech'!V12</f>
        <v/>
      </c>
      <c r="C30" s="19">
        <f>'Speech'!V31</f>
        <v/>
      </c>
      <c r="D30" s="19">
        <f>'Speech'!V50</f>
        <v/>
      </c>
      <c r="E30" s="19">
        <f>'Speech'!V69</f>
        <v/>
      </c>
      <c r="F30" s="20">
        <f>SUM(B30:E30)</f>
        <v/>
      </c>
      <c r="G30" s="19">
        <f>'Speech'!Y12</f>
        <v/>
      </c>
      <c r="H30" s="19">
        <f>'Speech'!Y31</f>
        <v/>
      </c>
      <c r="I30" s="19">
        <f>'Speech'!Y50</f>
        <v/>
      </c>
      <c r="J30" s="19">
        <f>'Speech'!Y69</f>
        <v/>
      </c>
      <c r="K30" s="20">
        <f>SUM(G30:J30)</f>
        <v/>
      </c>
      <c r="L30" s="21">
        <f>IF(K30=0,"",F30/K30)</f>
        <v/>
      </c>
      <c r="M30" s="19">
        <f>'Speech'!W12+'Speech'!W31+'Speech'!W50+'Speech'!W69</f>
        <v/>
      </c>
      <c r="N30" s="19">
        <f>'Speech'!X12+'Speech'!X31+'Speech'!X50+'Speech'!X69</f>
        <v/>
      </c>
    </row>
    <row r="31">
      <c r="A31" s="18" t="inlineStr">
        <is>
          <t>Fletcher Meese</t>
        </is>
      </c>
      <c r="B31" s="19">
        <f>'Speech'!V13</f>
        <v/>
      </c>
      <c r="C31" s="19">
        <f>'Speech'!V32</f>
        <v/>
      </c>
      <c r="D31" s="19">
        <f>'Speech'!V51</f>
        <v/>
      </c>
      <c r="E31" s="19">
        <f>'Speech'!V70</f>
        <v/>
      </c>
      <c r="F31" s="20">
        <f>SUM(B31:E31)</f>
        <v/>
      </c>
      <c r="G31" s="19">
        <f>'Speech'!Y13</f>
        <v/>
      </c>
      <c r="H31" s="19">
        <f>'Speech'!Y32</f>
        <v/>
      </c>
      <c r="I31" s="19">
        <f>'Speech'!Y51</f>
        <v/>
      </c>
      <c r="J31" s="19">
        <f>'Speech'!Y70</f>
        <v/>
      </c>
      <c r="K31" s="20">
        <f>SUM(G31:J31)</f>
        <v/>
      </c>
      <c r="L31" s="21">
        <f>IF(K31=0,"",F31/K31)</f>
        <v/>
      </c>
      <c r="M31" s="19">
        <f>'Speech'!W13+'Speech'!W32+'Speech'!W51+'Speech'!W70</f>
        <v/>
      </c>
      <c r="N31" s="19">
        <f>'Speech'!X13+'Speech'!X32+'Speech'!X51+'Speech'!X70</f>
        <v/>
      </c>
    </row>
    <row r="32">
      <c r="A32" s="18" t="inlineStr">
        <is>
          <t>Elijah Aldaco</t>
        </is>
      </c>
      <c r="B32" s="19">
        <f>'Speech'!V14</f>
        <v/>
      </c>
      <c r="C32" s="19">
        <f>'Speech'!V33</f>
        <v/>
      </c>
      <c r="D32" s="19">
        <f>'Speech'!V52</f>
        <v/>
      </c>
      <c r="E32" s="19">
        <f>'Speech'!V71</f>
        <v/>
      </c>
      <c r="F32" s="20">
        <f>SUM(B32:E32)</f>
        <v/>
      </c>
      <c r="G32" s="19">
        <f>'Speech'!Y14</f>
        <v/>
      </c>
      <c r="H32" s="19">
        <f>'Speech'!Y33</f>
        <v/>
      </c>
      <c r="I32" s="19">
        <f>'Speech'!Y52</f>
        <v/>
      </c>
      <c r="J32" s="19">
        <f>'Speech'!Y71</f>
        <v/>
      </c>
      <c r="K32" s="20">
        <f>SUM(G32:J32)</f>
        <v/>
      </c>
      <c r="L32" s="21">
        <f>IF(K32=0,"",F32/K32)</f>
        <v/>
      </c>
      <c r="M32" s="19">
        <f>'Speech'!W14+'Speech'!W33+'Speech'!W52+'Speech'!W71</f>
        <v/>
      </c>
      <c r="N32" s="19">
        <f>'Speech'!X14+'Speech'!X33+'Speech'!X52+'Speech'!X71</f>
        <v/>
      </c>
    </row>
    <row r="33">
      <c r="A33" s="18" t="inlineStr">
        <is>
          <t>Cain Gutierrez</t>
        </is>
      </c>
      <c r="B33" s="19">
        <f>'Speech'!V15</f>
        <v/>
      </c>
      <c r="C33" s="19">
        <f>'Speech'!V34</f>
        <v/>
      </c>
      <c r="D33" s="19">
        <f>'Speech'!V53</f>
        <v/>
      </c>
      <c r="E33" s="19">
        <f>'Speech'!V72</f>
        <v/>
      </c>
      <c r="F33" s="20">
        <f>SUM(B33:E33)</f>
        <v/>
      </c>
      <c r="G33" s="19">
        <f>'Speech'!Y15</f>
        <v/>
      </c>
      <c r="H33" s="19">
        <f>'Speech'!Y34</f>
        <v/>
      </c>
      <c r="I33" s="19">
        <f>'Speech'!Y53</f>
        <v/>
      </c>
      <c r="J33" s="19">
        <f>'Speech'!Y72</f>
        <v/>
      </c>
      <c r="K33" s="20">
        <f>SUM(G33:J33)</f>
        <v/>
      </c>
      <c r="L33" s="21">
        <f>IF(K33=0,"",F33/K33)</f>
        <v/>
      </c>
      <c r="M33" s="19">
        <f>'Speech'!W15+'Speech'!W34+'Speech'!W53+'Speech'!W72</f>
        <v/>
      </c>
      <c r="N33" s="19">
        <f>'Speech'!X15+'Speech'!X34+'Speech'!X53+'Speech'!X72</f>
        <v/>
      </c>
    </row>
    <row r="34">
      <c r="A34" s="18" t="inlineStr">
        <is>
          <t>Grayson Barnhart</t>
        </is>
      </c>
      <c r="B34" s="19">
        <f>'Speech'!V16</f>
        <v/>
      </c>
      <c r="C34" s="19">
        <f>'Speech'!V35</f>
        <v/>
      </c>
      <c r="D34" s="19">
        <f>'Speech'!V54</f>
        <v/>
      </c>
      <c r="E34" s="19">
        <f>'Speech'!V73</f>
        <v/>
      </c>
      <c r="F34" s="20">
        <f>SUM(B34:E34)</f>
        <v/>
      </c>
      <c r="G34" s="19">
        <f>'Speech'!Y16</f>
        <v/>
      </c>
      <c r="H34" s="19">
        <f>'Speech'!Y35</f>
        <v/>
      </c>
      <c r="I34" s="19">
        <f>'Speech'!Y54</f>
        <v/>
      </c>
      <c r="J34" s="19">
        <f>'Speech'!Y73</f>
        <v/>
      </c>
      <c r="K34" s="20">
        <f>SUM(G34:J34)</f>
        <v/>
      </c>
      <c r="L34" s="21">
        <f>IF(K34=0,"",F34/K34)</f>
        <v/>
      </c>
      <c r="M34" s="19">
        <f>'Speech'!W16+'Speech'!W35+'Speech'!W54+'Speech'!W73</f>
        <v/>
      </c>
      <c r="N34" s="19">
        <f>'Speech'!X16+'Speech'!X35+'Speech'!X54+'Speech'!X73</f>
        <v/>
      </c>
    </row>
    <row r="35">
      <c r="A35" s="18" t="inlineStr">
        <is>
          <t>Abel Abraham</t>
        </is>
      </c>
      <c r="B35" s="19">
        <f>'Speech'!V17</f>
        <v/>
      </c>
      <c r="C35" s="19">
        <f>'Speech'!V36</f>
        <v/>
      </c>
      <c r="D35" s="19">
        <f>'Speech'!V55</f>
        <v/>
      </c>
      <c r="E35" s="19">
        <f>'Speech'!V74</f>
        <v/>
      </c>
      <c r="F35" s="20">
        <f>SUM(B35:E35)</f>
        <v/>
      </c>
      <c r="G35" s="19">
        <f>'Speech'!Y17</f>
        <v/>
      </c>
      <c r="H35" s="19">
        <f>'Speech'!Y36</f>
        <v/>
      </c>
      <c r="I35" s="19">
        <f>'Speech'!Y55</f>
        <v/>
      </c>
      <c r="J35" s="19">
        <f>'Speech'!Y74</f>
        <v/>
      </c>
      <c r="K35" s="20">
        <f>SUM(G35:J35)</f>
        <v/>
      </c>
      <c r="L35" s="21">
        <f>IF(K35=0,"",F35/K35)</f>
        <v/>
      </c>
      <c r="M35" s="19">
        <f>'Speech'!W17+'Speech'!W36+'Speech'!W55+'Speech'!W74</f>
        <v/>
      </c>
      <c r="N35" s="19">
        <f>'Speech'!X17+'Speech'!X36+'Speech'!X55+'Speech'!X74</f>
        <v/>
      </c>
    </row>
    <row r="36">
      <c r="A36" s="18" t="inlineStr">
        <is>
          <t>John Joby</t>
        </is>
      </c>
      <c r="B36" s="19">
        <f>'Speech'!V18</f>
        <v/>
      </c>
      <c r="C36" s="19">
        <f>'Speech'!V37</f>
        <v/>
      </c>
      <c r="D36" s="19">
        <f>'Speech'!V56</f>
        <v/>
      </c>
      <c r="E36" s="19">
        <f>'Speech'!V75</f>
        <v/>
      </c>
      <c r="F36" s="20">
        <f>SUM(B36:E36)</f>
        <v/>
      </c>
      <c r="G36" s="19">
        <f>'Speech'!Y18</f>
        <v/>
      </c>
      <c r="H36" s="19">
        <f>'Speech'!Y37</f>
        <v/>
      </c>
      <c r="I36" s="19">
        <f>'Speech'!Y56</f>
        <v/>
      </c>
      <c r="J36" s="19">
        <f>'Speech'!Y75</f>
        <v/>
      </c>
      <c r="K36" s="20">
        <f>SUM(G36:J36)</f>
        <v/>
      </c>
      <c r="L36" s="21">
        <f>IF(K36=0,"",F36/K36)</f>
        <v/>
      </c>
      <c r="M36" s="19">
        <f>'Speech'!W18+'Speech'!W37+'Speech'!W56+'Speech'!W75</f>
        <v/>
      </c>
      <c r="N36" s="19">
        <f>'Speech'!X18+'Speech'!X37+'Speech'!X56+'Speech'!X75</f>
        <v/>
      </c>
    </row>
    <row r="37">
      <c r="A37" s="18" t="inlineStr">
        <is>
          <t>Jason Bean</t>
        </is>
      </c>
      <c r="B37" s="19">
        <f>'Speech'!V19</f>
        <v/>
      </c>
      <c r="C37" s="19">
        <f>'Speech'!V38</f>
        <v/>
      </c>
      <c r="D37" s="19">
        <f>'Speech'!V57</f>
        <v/>
      </c>
      <c r="E37" s="19">
        <f>'Speech'!V76</f>
        <v/>
      </c>
      <c r="F37" s="20">
        <f>SUM(B37:E37)</f>
        <v/>
      </c>
      <c r="G37" s="19">
        <f>'Speech'!Y19</f>
        <v/>
      </c>
      <c r="H37" s="19">
        <f>'Speech'!Y38</f>
        <v/>
      </c>
      <c r="I37" s="19">
        <f>'Speech'!Y57</f>
        <v/>
      </c>
      <c r="J37" s="19">
        <f>'Speech'!Y76</f>
        <v/>
      </c>
      <c r="K37" s="20">
        <f>SUM(G37:J37)</f>
        <v/>
      </c>
      <c r="L37" s="21">
        <f>IF(K37=0,"",F37/K37)</f>
        <v/>
      </c>
      <c r="M37" s="19">
        <f>'Speech'!W19+'Speech'!W38+'Speech'!W57+'Speech'!W76</f>
        <v/>
      </c>
      <c r="N37" s="19">
        <f>'Speech'!X19+'Speech'!X38+'Speech'!X57+'Speech'!X76</f>
        <v/>
      </c>
    </row>
    <row r="39">
      <c r="A39" s="36" t="inlineStr">
        <is>
          <t>OT</t>
        </is>
      </c>
    </row>
    <row r="40">
      <c r="A40" s="17" t="inlineStr">
        <is>
          <t>Student Name</t>
        </is>
      </c>
      <c r="B40" s="17" t="inlineStr">
        <is>
          <t>Q1 Met</t>
        </is>
      </c>
      <c r="C40" s="17" t="inlineStr">
        <is>
          <t>Q2 Met</t>
        </is>
      </c>
      <c r="D40" s="17" t="inlineStr">
        <is>
          <t>Q3 Met</t>
        </is>
      </c>
      <c r="E40" s="17" t="inlineStr">
        <is>
          <t>Q4 Met</t>
        </is>
      </c>
      <c r="F40" s="17" t="inlineStr">
        <is>
          <t>Year Total</t>
        </is>
      </c>
      <c r="G40" s="17" t="inlineStr">
        <is>
          <t>Q1 IEP</t>
        </is>
      </c>
      <c r="H40" s="17" t="inlineStr">
        <is>
          <t>Q2 IEP</t>
        </is>
      </c>
      <c r="I40" s="17" t="inlineStr">
        <is>
          <t>Q3 IEP</t>
        </is>
      </c>
      <c r="J40" s="17" t="inlineStr">
        <is>
          <t>Q4 IEP</t>
        </is>
      </c>
      <c r="K40" s="17" t="inlineStr">
        <is>
          <t>Annual IEP</t>
        </is>
      </c>
      <c r="L40" s="17" t="inlineStr">
        <is>
          <t>Year %</t>
        </is>
      </c>
      <c r="M40" s="17" t="inlineStr">
        <is>
          <t>Total Sess</t>
        </is>
      </c>
      <c r="N40" s="17" t="inlineStr">
        <is>
          <t>Total Abs</t>
        </is>
      </c>
    </row>
    <row r="41">
      <c r="A41" s="18" t="inlineStr">
        <is>
          <t>Raya Hightower</t>
        </is>
      </c>
      <c r="B41" s="19">
        <f>'OT'!V5</f>
        <v/>
      </c>
      <c r="C41" s="19">
        <f>'OT'!V24</f>
        <v/>
      </c>
      <c r="D41" s="19">
        <f>'OT'!V43</f>
        <v/>
      </c>
      <c r="E41" s="19">
        <f>'OT'!V62</f>
        <v/>
      </c>
      <c r="F41" s="20">
        <f>SUM(B41:E41)</f>
        <v/>
      </c>
      <c r="G41" s="19">
        <f>'OT'!Y5</f>
        <v/>
      </c>
      <c r="H41" s="19">
        <f>'OT'!Y24</f>
        <v/>
      </c>
      <c r="I41" s="19">
        <f>'OT'!Y43</f>
        <v/>
      </c>
      <c r="J41" s="19">
        <f>'OT'!Y62</f>
        <v/>
      </c>
      <c r="K41" s="20">
        <f>SUM(G41:J41)</f>
        <v/>
      </c>
      <c r="L41" s="21">
        <f>IF(K41=0,"",F41/K41)</f>
        <v/>
      </c>
      <c r="M41" s="19">
        <f>'OT'!W5+'OT'!W24+'OT'!W43+'OT'!W62</f>
        <v/>
      </c>
      <c r="N41" s="19">
        <f>'OT'!X5+'OT'!X24+'OT'!X43+'OT'!X62</f>
        <v/>
      </c>
    </row>
    <row r="42">
      <c r="A42" s="18" t="inlineStr">
        <is>
          <t>Anu Vijay Anand</t>
        </is>
      </c>
      <c r="B42" s="19">
        <f>'OT'!V6</f>
        <v/>
      </c>
      <c r="C42" s="19">
        <f>'OT'!V25</f>
        <v/>
      </c>
      <c r="D42" s="19">
        <f>'OT'!V44</f>
        <v/>
      </c>
      <c r="E42" s="19">
        <f>'OT'!V63</f>
        <v/>
      </c>
      <c r="F42" s="20">
        <f>SUM(B42:E42)</f>
        <v/>
      </c>
      <c r="G42" s="19">
        <f>'OT'!Y6</f>
        <v/>
      </c>
      <c r="H42" s="19">
        <f>'OT'!Y25</f>
        <v/>
      </c>
      <c r="I42" s="19">
        <f>'OT'!Y44</f>
        <v/>
      </c>
      <c r="J42" s="19">
        <f>'OT'!Y63</f>
        <v/>
      </c>
      <c r="K42" s="20">
        <f>SUM(G42:J42)</f>
        <v/>
      </c>
      <c r="L42" s="21">
        <f>IF(K42=0,"",F42/K42)</f>
        <v/>
      </c>
      <c r="M42" s="19">
        <f>'OT'!W6+'OT'!W25+'OT'!W44+'OT'!W63</f>
        <v/>
      </c>
      <c r="N42" s="19">
        <f>'OT'!X6+'OT'!X25+'OT'!X44+'OT'!X63</f>
        <v/>
      </c>
    </row>
    <row r="43">
      <c r="A43" s="18" t="inlineStr">
        <is>
          <t>Aadhya Gone</t>
        </is>
      </c>
      <c r="B43" s="19">
        <f>'OT'!V7</f>
        <v/>
      </c>
      <c r="C43" s="19">
        <f>'OT'!V26</f>
        <v/>
      </c>
      <c r="D43" s="19">
        <f>'OT'!V45</f>
        <v/>
      </c>
      <c r="E43" s="19">
        <f>'OT'!V64</f>
        <v/>
      </c>
      <c r="F43" s="20">
        <f>SUM(B43:E43)</f>
        <v/>
      </c>
      <c r="G43" s="19">
        <f>'OT'!Y7</f>
        <v/>
      </c>
      <c r="H43" s="19">
        <f>'OT'!Y26</f>
        <v/>
      </c>
      <c r="I43" s="19">
        <f>'OT'!Y45</f>
        <v/>
      </c>
      <c r="J43" s="19">
        <f>'OT'!Y64</f>
        <v/>
      </c>
      <c r="K43" s="20">
        <f>SUM(G43:J43)</f>
        <v/>
      </c>
      <c r="L43" s="21">
        <f>IF(K43=0,"",F43/K43)</f>
        <v/>
      </c>
      <c r="M43" s="19">
        <f>'OT'!W7+'OT'!W26+'OT'!W45+'OT'!W64</f>
        <v/>
      </c>
      <c r="N43" s="19">
        <f>'OT'!X7+'OT'!X26+'OT'!X45+'OT'!X64</f>
        <v/>
      </c>
    </row>
    <row r="44">
      <c r="A44" s="18" t="inlineStr">
        <is>
          <t>Sumeyah Khan</t>
        </is>
      </c>
      <c r="B44" s="19">
        <f>'OT'!V8</f>
        <v/>
      </c>
      <c r="C44" s="19">
        <f>'OT'!V27</f>
        <v/>
      </c>
      <c r="D44" s="19">
        <f>'OT'!V46</f>
        <v/>
      </c>
      <c r="E44" s="19">
        <f>'OT'!V65</f>
        <v/>
      </c>
      <c r="F44" s="20">
        <f>SUM(B44:E44)</f>
        <v/>
      </c>
      <c r="G44" s="19">
        <f>'OT'!Y8</f>
        <v/>
      </c>
      <c r="H44" s="19">
        <f>'OT'!Y27</f>
        <v/>
      </c>
      <c r="I44" s="19">
        <f>'OT'!Y46</f>
        <v/>
      </c>
      <c r="J44" s="19">
        <f>'OT'!Y65</f>
        <v/>
      </c>
      <c r="K44" s="20">
        <f>SUM(G44:J44)</f>
        <v/>
      </c>
      <c r="L44" s="21">
        <f>IF(K44=0,"",F44/K44)</f>
        <v/>
      </c>
      <c r="M44" s="19">
        <f>'OT'!W8+'OT'!W27+'OT'!W46+'OT'!W65</f>
        <v/>
      </c>
      <c r="N44" s="19">
        <f>'OT'!X8+'OT'!X27+'OT'!X46+'OT'!X65</f>
        <v/>
      </c>
    </row>
    <row r="45">
      <c r="A45" s="18" t="inlineStr">
        <is>
          <t>Maria Mujeeb</t>
        </is>
      </c>
      <c r="B45" s="19">
        <f>'OT'!V9</f>
        <v/>
      </c>
      <c r="C45" s="19">
        <f>'OT'!V28</f>
        <v/>
      </c>
      <c r="D45" s="19">
        <f>'OT'!V47</f>
        <v/>
      </c>
      <c r="E45" s="19">
        <f>'OT'!V66</f>
        <v/>
      </c>
      <c r="F45" s="20">
        <f>SUM(B45:E45)</f>
        <v/>
      </c>
      <c r="G45" s="19">
        <f>'OT'!Y9</f>
        <v/>
      </c>
      <c r="H45" s="19">
        <f>'OT'!Y28</f>
        <v/>
      </c>
      <c r="I45" s="19">
        <f>'OT'!Y47</f>
        <v/>
      </c>
      <c r="J45" s="19">
        <f>'OT'!Y66</f>
        <v/>
      </c>
      <c r="K45" s="20">
        <f>SUM(G45:J45)</f>
        <v/>
      </c>
      <c r="L45" s="21">
        <f>IF(K45=0,"",F45/K45)</f>
        <v/>
      </c>
      <c r="M45" s="19">
        <f>'OT'!W9+'OT'!W28+'OT'!W47+'OT'!W66</f>
        <v/>
      </c>
      <c r="N45" s="19">
        <f>'OT'!X9+'OT'!X28+'OT'!X47+'OT'!X66</f>
        <v/>
      </c>
    </row>
    <row r="46">
      <c r="A46" s="18" t="inlineStr">
        <is>
          <t>Jace Ratliff</t>
        </is>
      </c>
      <c r="B46" s="19">
        <f>'OT'!V10</f>
        <v/>
      </c>
      <c r="C46" s="19">
        <f>'OT'!V29</f>
        <v/>
      </c>
      <c r="D46" s="19">
        <f>'OT'!V48</f>
        <v/>
      </c>
      <c r="E46" s="19">
        <f>'OT'!V67</f>
        <v/>
      </c>
      <c r="F46" s="20">
        <f>SUM(B46:E46)</f>
        <v/>
      </c>
      <c r="G46" s="19">
        <f>'OT'!Y10</f>
        <v/>
      </c>
      <c r="H46" s="19">
        <f>'OT'!Y29</f>
        <v/>
      </c>
      <c r="I46" s="19">
        <f>'OT'!Y48</f>
        <v/>
      </c>
      <c r="J46" s="19">
        <f>'OT'!Y67</f>
        <v/>
      </c>
      <c r="K46" s="20">
        <f>SUM(G46:J46)</f>
        <v/>
      </c>
      <c r="L46" s="21">
        <f>IF(K46=0,"",F46/K46)</f>
        <v/>
      </c>
      <c r="M46" s="19">
        <f>'OT'!W10+'OT'!W29+'OT'!W48+'OT'!W67</f>
        <v/>
      </c>
      <c r="N46" s="19">
        <f>'OT'!X10+'OT'!X29+'OT'!X48+'OT'!X67</f>
        <v/>
      </c>
    </row>
    <row r="47">
      <c r="A47" s="18" t="inlineStr">
        <is>
          <t>Evan Allen</t>
        </is>
      </c>
      <c r="B47" s="19">
        <f>'OT'!V11</f>
        <v/>
      </c>
      <c r="C47" s="19">
        <f>'OT'!V30</f>
        <v/>
      </c>
      <c r="D47" s="19">
        <f>'OT'!V49</f>
        <v/>
      </c>
      <c r="E47" s="19">
        <f>'OT'!V68</f>
        <v/>
      </c>
      <c r="F47" s="20">
        <f>SUM(B47:E47)</f>
        <v/>
      </c>
      <c r="G47" s="19">
        <f>'OT'!Y11</f>
        <v/>
      </c>
      <c r="H47" s="19">
        <f>'OT'!Y30</f>
        <v/>
      </c>
      <c r="I47" s="19">
        <f>'OT'!Y49</f>
        <v/>
      </c>
      <c r="J47" s="19">
        <f>'OT'!Y68</f>
        <v/>
      </c>
      <c r="K47" s="20">
        <f>SUM(G47:J47)</f>
        <v/>
      </c>
      <c r="L47" s="21">
        <f>IF(K47=0,"",F47/K47)</f>
        <v/>
      </c>
      <c r="M47" s="19">
        <f>'OT'!W11+'OT'!W30+'OT'!W49+'OT'!W68</f>
        <v/>
      </c>
      <c r="N47" s="19">
        <f>'OT'!X11+'OT'!X30+'OT'!X49+'OT'!X68</f>
        <v/>
      </c>
    </row>
    <row r="48">
      <c r="A48" s="18" t="inlineStr">
        <is>
          <t>Sai Neelagiri</t>
        </is>
      </c>
      <c r="B48" s="19">
        <f>'OT'!V12</f>
        <v/>
      </c>
      <c r="C48" s="19">
        <f>'OT'!V31</f>
        <v/>
      </c>
      <c r="D48" s="19">
        <f>'OT'!V50</f>
        <v/>
      </c>
      <c r="E48" s="19">
        <f>'OT'!V69</f>
        <v/>
      </c>
      <c r="F48" s="20">
        <f>SUM(B48:E48)</f>
        <v/>
      </c>
      <c r="G48" s="19">
        <f>'OT'!Y12</f>
        <v/>
      </c>
      <c r="H48" s="19">
        <f>'OT'!Y31</f>
        <v/>
      </c>
      <c r="I48" s="19">
        <f>'OT'!Y50</f>
        <v/>
      </c>
      <c r="J48" s="19">
        <f>'OT'!Y69</f>
        <v/>
      </c>
      <c r="K48" s="20">
        <f>SUM(G48:J48)</f>
        <v/>
      </c>
      <c r="L48" s="21">
        <f>IF(K48=0,"",F48/K48)</f>
        <v/>
      </c>
      <c r="M48" s="19">
        <f>'OT'!W12+'OT'!W31+'OT'!W50+'OT'!W69</f>
        <v/>
      </c>
      <c r="N48" s="19">
        <f>'OT'!X12+'OT'!X31+'OT'!X50+'OT'!X69</f>
        <v/>
      </c>
    </row>
    <row r="49">
      <c r="A49" s="18" t="inlineStr">
        <is>
          <t>Fletcher Meese</t>
        </is>
      </c>
      <c r="B49" s="19">
        <f>'OT'!V13</f>
        <v/>
      </c>
      <c r="C49" s="19">
        <f>'OT'!V32</f>
        <v/>
      </c>
      <c r="D49" s="19">
        <f>'OT'!V51</f>
        <v/>
      </c>
      <c r="E49" s="19">
        <f>'OT'!V70</f>
        <v/>
      </c>
      <c r="F49" s="20">
        <f>SUM(B49:E49)</f>
        <v/>
      </c>
      <c r="G49" s="19">
        <f>'OT'!Y13</f>
        <v/>
      </c>
      <c r="H49" s="19">
        <f>'OT'!Y32</f>
        <v/>
      </c>
      <c r="I49" s="19">
        <f>'OT'!Y51</f>
        <v/>
      </c>
      <c r="J49" s="19">
        <f>'OT'!Y70</f>
        <v/>
      </c>
      <c r="K49" s="20">
        <f>SUM(G49:J49)</f>
        <v/>
      </c>
      <c r="L49" s="21">
        <f>IF(K49=0,"",F49/K49)</f>
        <v/>
      </c>
      <c r="M49" s="19">
        <f>'OT'!W13+'OT'!W32+'OT'!W51+'OT'!W70</f>
        <v/>
      </c>
      <c r="N49" s="19">
        <f>'OT'!X13+'OT'!X32+'OT'!X51+'OT'!X70</f>
        <v/>
      </c>
    </row>
    <row r="50">
      <c r="A50" s="18" t="inlineStr">
        <is>
          <t>Elijah Aldaco</t>
        </is>
      </c>
      <c r="B50" s="19">
        <f>'OT'!V14</f>
        <v/>
      </c>
      <c r="C50" s="19">
        <f>'OT'!V33</f>
        <v/>
      </c>
      <c r="D50" s="19">
        <f>'OT'!V52</f>
        <v/>
      </c>
      <c r="E50" s="19">
        <f>'OT'!V71</f>
        <v/>
      </c>
      <c r="F50" s="20">
        <f>SUM(B50:E50)</f>
        <v/>
      </c>
      <c r="G50" s="19">
        <f>'OT'!Y14</f>
        <v/>
      </c>
      <c r="H50" s="19">
        <f>'OT'!Y33</f>
        <v/>
      </c>
      <c r="I50" s="19">
        <f>'OT'!Y52</f>
        <v/>
      </c>
      <c r="J50" s="19">
        <f>'OT'!Y71</f>
        <v/>
      </c>
      <c r="K50" s="20">
        <f>SUM(G50:J50)</f>
        <v/>
      </c>
      <c r="L50" s="21">
        <f>IF(K50=0,"",F50/K50)</f>
        <v/>
      </c>
      <c r="M50" s="19">
        <f>'OT'!W14+'OT'!W33+'OT'!W52+'OT'!W71</f>
        <v/>
      </c>
      <c r="N50" s="19">
        <f>'OT'!X14+'OT'!X33+'OT'!X52+'OT'!X71</f>
        <v/>
      </c>
    </row>
    <row r="51">
      <c r="A51" s="18" t="inlineStr">
        <is>
          <t>Cain Gutierrez</t>
        </is>
      </c>
      <c r="B51" s="19">
        <f>'OT'!V15</f>
        <v/>
      </c>
      <c r="C51" s="19">
        <f>'OT'!V34</f>
        <v/>
      </c>
      <c r="D51" s="19">
        <f>'OT'!V53</f>
        <v/>
      </c>
      <c r="E51" s="19">
        <f>'OT'!V72</f>
        <v/>
      </c>
      <c r="F51" s="20">
        <f>SUM(B51:E51)</f>
        <v/>
      </c>
      <c r="G51" s="19">
        <f>'OT'!Y15</f>
        <v/>
      </c>
      <c r="H51" s="19">
        <f>'OT'!Y34</f>
        <v/>
      </c>
      <c r="I51" s="19">
        <f>'OT'!Y53</f>
        <v/>
      </c>
      <c r="J51" s="19">
        <f>'OT'!Y72</f>
        <v/>
      </c>
      <c r="K51" s="20">
        <f>SUM(G51:J51)</f>
        <v/>
      </c>
      <c r="L51" s="21">
        <f>IF(K51=0,"",F51/K51)</f>
        <v/>
      </c>
      <c r="M51" s="19">
        <f>'OT'!W15+'OT'!W34+'OT'!W53+'OT'!W72</f>
        <v/>
      </c>
      <c r="N51" s="19">
        <f>'OT'!X15+'OT'!X34+'OT'!X53+'OT'!X72</f>
        <v/>
      </c>
    </row>
    <row r="52">
      <c r="A52" s="18" t="inlineStr">
        <is>
          <t>Grayson Barnhart</t>
        </is>
      </c>
      <c r="B52" s="19">
        <f>'OT'!V16</f>
        <v/>
      </c>
      <c r="C52" s="19">
        <f>'OT'!V35</f>
        <v/>
      </c>
      <c r="D52" s="19">
        <f>'OT'!V54</f>
        <v/>
      </c>
      <c r="E52" s="19">
        <f>'OT'!V73</f>
        <v/>
      </c>
      <c r="F52" s="20">
        <f>SUM(B52:E52)</f>
        <v/>
      </c>
      <c r="G52" s="19">
        <f>'OT'!Y16</f>
        <v/>
      </c>
      <c r="H52" s="19">
        <f>'OT'!Y35</f>
        <v/>
      </c>
      <c r="I52" s="19">
        <f>'OT'!Y54</f>
        <v/>
      </c>
      <c r="J52" s="19">
        <f>'OT'!Y73</f>
        <v/>
      </c>
      <c r="K52" s="20">
        <f>SUM(G52:J52)</f>
        <v/>
      </c>
      <c r="L52" s="21">
        <f>IF(K52=0,"",F52/K52)</f>
        <v/>
      </c>
      <c r="M52" s="19">
        <f>'OT'!W16+'OT'!W35+'OT'!W54+'OT'!W73</f>
        <v/>
      </c>
      <c r="N52" s="19">
        <f>'OT'!X16+'OT'!X35+'OT'!X54+'OT'!X73</f>
        <v/>
      </c>
    </row>
    <row r="53">
      <c r="A53" s="18" t="inlineStr">
        <is>
          <t>Abel Abraham</t>
        </is>
      </c>
      <c r="B53" s="19">
        <f>'OT'!V17</f>
        <v/>
      </c>
      <c r="C53" s="19">
        <f>'OT'!V36</f>
        <v/>
      </c>
      <c r="D53" s="19">
        <f>'OT'!V55</f>
        <v/>
      </c>
      <c r="E53" s="19">
        <f>'OT'!V74</f>
        <v/>
      </c>
      <c r="F53" s="20">
        <f>SUM(B53:E53)</f>
        <v/>
      </c>
      <c r="G53" s="19">
        <f>'OT'!Y17</f>
        <v/>
      </c>
      <c r="H53" s="19">
        <f>'OT'!Y36</f>
        <v/>
      </c>
      <c r="I53" s="19">
        <f>'OT'!Y55</f>
        <v/>
      </c>
      <c r="J53" s="19">
        <f>'OT'!Y74</f>
        <v/>
      </c>
      <c r="K53" s="20">
        <f>SUM(G53:J53)</f>
        <v/>
      </c>
      <c r="L53" s="21">
        <f>IF(K53=0,"",F53/K53)</f>
        <v/>
      </c>
      <c r="M53" s="19">
        <f>'OT'!W17+'OT'!W36+'OT'!W55+'OT'!W74</f>
        <v/>
      </c>
      <c r="N53" s="19">
        <f>'OT'!X17+'OT'!X36+'OT'!X55+'OT'!X74</f>
        <v/>
      </c>
    </row>
    <row r="54">
      <c r="A54" s="18" t="inlineStr">
        <is>
          <t>John Joby</t>
        </is>
      </c>
      <c r="B54" s="19">
        <f>'OT'!V18</f>
        <v/>
      </c>
      <c r="C54" s="19">
        <f>'OT'!V37</f>
        <v/>
      </c>
      <c r="D54" s="19">
        <f>'OT'!V56</f>
        <v/>
      </c>
      <c r="E54" s="19">
        <f>'OT'!V75</f>
        <v/>
      </c>
      <c r="F54" s="20">
        <f>SUM(B54:E54)</f>
        <v/>
      </c>
      <c r="G54" s="19">
        <f>'OT'!Y18</f>
        <v/>
      </c>
      <c r="H54" s="19">
        <f>'OT'!Y37</f>
        <v/>
      </c>
      <c r="I54" s="19">
        <f>'OT'!Y56</f>
        <v/>
      </c>
      <c r="J54" s="19">
        <f>'OT'!Y75</f>
        <v/>
      </c>
      <c r="K54" s="20">
        <f>SUM(G54:J54)</f>
        <v/>
      </c>
      <c r="L54" s="21">
        <f>IF(K54=0,"",F54/K54)</f>
        <v/>
      </c>
      <c r="M54" s="19">
        <f>'OT'!W18+'OT'!W37+'OT'!W56+'OT'!W75</f>
        <v/>
      </c>
      <c r="N54" s="19">
        <f>'OT'!X18+'OT'!X37+'OT'!X56+'OT'!X75</f>
        <v/>
      </c>
    </row>
    <row r="55">
      <c r="A55" s="18" t="inlineStr">
        <is>
          <t>Jason Bean</t>
        </is>
      </c>
      <c r="B55" s="19">
        <f>'OT'!V19</f>
        <v/>
      </c>
      <c r="C55" s="19">
        <f>'OT'!V38</f>
        <v/>
      </c>
      <c r="D55" s="19">
        <f>'OT'!V57</f>
        <v/>
      </c>
      <c r="E55" s="19">
        <f>'OT'!V76</f>
        <v/>
      </c>
      <c r="F55" s="20">
        <f>SUM(B55:E55)</f>
        <v/>
      </c>
      <c r="G55" s="19">
        <f>'OT'!Y19</f>
        <v/>
      </c>
      <c r="H55" s="19">
        <f>'OT'!Y38</f>
        <v/>
      </c>
      <c r="I55" s="19">
        <f>'OT'!Y57</f>
        <v/>
      </c>
      <c r="J55" s="19">
        <f>'OT'!Y76</f>
        <v/>
      </c>
      <c r="K55" s="20">
        <f>SUM(G55:J55)</f>
        <v/>
      </c>
      <c r="L55" s="21">
        <f>IF(K55=0,"",F55/K55)</f>
        <v/>
      </c>
      <c r="M55" s="19">
        <f>'OT'!W19+'OT'!W38+'OT'!W57+'OT'!W76</f>
        <v/>
      </c>
      <c r="N55" s="19">
        <f>'OT'!X19+'OT'!X38+'OT'!X57+'OT'!X76</f>
        <v/>
      </c>
    </row>
    <row r="57">
      <c r="A57" s="37" t="inlineStr">
        <is>
          <t>Counseling</t>
        </is>
      </c>
    </row>
    <row r="58">
      <c r="A58" s="17" t="inlineStr">
        <is>
          <t>Student Name</t>
        </is>
      </c>
      <c r="B58" s="17" t="inlineStr">
        <is>
          <t>Q1 Met</t>
        </is>
      </c>
      <c r="C58" s="17" t="inlineStr">
        <is>
          <t>Q2 Met</t>
        </is>
      </c>
      <c r="D58" s="17" t="inlineStr">
        <is>
          <t>Q3 Met</t>
        </is>
      </c>
      <c r="E58" s="17" t="inlineStr">
        <is>
          <t>Q4 Met</t>
        </is>
      </c>
      <c r="F58" s="17" t="inlineStr">
        <is>
          <t>Year Total</t>
        </is>
      </c>
      <c r="G58" s="17" t="inlineStr">
        <is>
          <t>Q1 IEP</t>
        </is>
      </c>
      <c r="H58" s="17" t="inlineStr">
        <is>
          <t>Q2 IEP</t>
        </is>
      </c>
      <c r="I58" s="17" t="inlineStr">
        <is>
          <t>Q3 IEP</t>
        </is>
      </c>
      <c r="J58" s="17" t="inlineStr">
        <is>
          <t>Q4 IEP</t>
        </is>
      </c>
      <c r="K58" s="17" t="inlineStr">
        <is>
          <t>Annual IEP</t>
        </is>
      </c>
      <c r="L58" s="17" t="inlineStr">
        <is>
          <t>Year %</t>
        </is>
      </c>
      <c r="M58" s="17" t="inlineStr">
        <is>
          <t>Total Sess</t>
        </is>
      </c>
      <c r="N58" s="17" t="inlineStr">
        <is>
          <t>Total Abs</t>
        </is>
      </c>
    </row>
    <row r="59">
      <c r="A59" s="18" t="inlineStr">
        <is>
          <t>Raya Hightower</t>
        </is>
      </c>
      <c r="B59" s="19">
        <f>'Counseling'!V5</f>
        <v/>
      </c>
      <c r="C59" s="19">
        <f>'Counseling'!V24</f>
        <v/>
      </c>
      <c r="D59" s="19">
        <f>'Counseling'!V43</f>
        <v/>
      </c>
      <c r="E59" s="19">
        <f>'Counseling'!V62</f>
        <v/>
      </c>
      <c r="F59" s="20">
        <f>SUM(B59:E59)</f>
        <v/>
      </c>
      <c r="G59" s="19">
        <f>'Counseling'!Y5</f>
        <v/>
      </c>
      <c r="H59" s="19">
        <f>'Counseling'!Y24</f>
        <v/>
      </c>
      <c r="I59" s="19">
        <f>'Counseling'!Y43</f>
        <v/>
      </c>
      <c r="J59" s="19">
        <f>'Counseling'!Y62</f>
        <v/>
      </c>
      <c r="K59" s="20">
        <f>SUM(G59:J59)</f>
        <v/>
      </c>
      <c r="L59" s="21">
        <f>IF(K59=0,"",F59/K59)</f>
        <v/>
      </c>
      <c r="M59" s="19">
        <f>'Counseling'!W5+'Counseling'!W24+'Counseling'!W43+'Counseling'!W62</f>
        <v/>
      </c>
      <c r="N59" s="19">
        <f>'Counseling'!X5+'Counseling'!X24+'Counseling'!X43+'Counseling'!X62</f>
        <v/>
      </c>
    </row>
    <row r="60">
      <c r="A60" s="18" t="inlineStr">
        <is>
          <t>Anu Vijay Anand</t>
        </is>
      </c>
      <c r="B60" s="19">
        <f>'Counseling'!V6</f>
        <v/>
      </c>
      <c r="C60" s="19">
        <f>'Counseling'!V25</f>
        <v/>
      </c>
      <c r="D60" s="19">
        <f>'Counseling'!V44</f>
        <v/>
      </c>
      <c r="E60" s="19">
        <f>'Counseling'!V63</f>
        <v/>
      </c>
      <c r="F60" s="20">
        <f>SUM(B60:E60)</f>
        <v/>
      </c>
      <c r="G60" s="19">
        <f>'Counseling'!Y6</f>
        <v/>
      </c>
      <c r="H60" s="19">
        <f>'Counseling'!Y25</f>
        <v/>
      </c>
      <c r="I60" s="19">
        <f>'Counseling'!Y44</f>
        <v/>
      </c>
      <c r="J60" s="19">
        <f>'Counseling'!Y63</f>
        <v/>
      </c>
      <c r="K60" s="20">
        <f>SUM(G60:J60)</f>
        <v/>
      </c>
      <c r="L60" s="21">
        <f>IF(K60=0,"",F60/K60)</f>
        <v/>
      </c>
      <c r="M60" s="19">
        <f>'Counseling'!W6+'Counseling'!W25+'Counseling'!W44+'Counseling'!W63</f>
        <v/>
      </c>
      <c r="N60" s="19">
        <f>'Counseling'!X6+'Counseling'!X25+'Counseling'!X44+'Counseling'!X63</f>
        <v/>
      </c>
    </row>
    <row r="61">
      <c r="A61" s="18" t="inlineStr">
        <is>
          <t>Aadhya Gone</t>
        </is>
      </c>
      <c r="B61" s="19">
        <f>'Counseling'!V7</f>
        <v/>
      </c>
      <c r="C61" s="19">
        <f>'Counseling'!V26</f>
        <v/>
      </c>
      <c r="D61" s="19">
        <f>'Counseling'!V45</f>
        <v/>
      </c>
      <c r="E61" s="19">
        <f>'Counseling'!V64</f>
        <v/>
      </c>
      <c r="F61" s="20">
        <f>SUM(B61:E61)</f>
        <v/>
      </c>
      <c r="G61" s="19">
        <f>'Counseling'!Y7</f>
        <v/>
      </c>
      <c r="H61" s="19">
        <f>'Counseling'!Y26</f>
        <v/>
      </c>
      <c r="I61" s="19">
        <f>'Counseling'!Y45</f>
        <v/>
      </c>
      <c r="J61" s="19">
        <f>'Counseling'!Y64</f>
        <v/>
      </c>
      <c r="K61" s="20">
        <f>SUM(G61:J61)</f>
        <v/>
      </c>
      <c r="L61" s="21">
        <f>IF(K61=0,"",F61/K61)</f>
        <v/>
      </c>
      <c r="M61" s="19">
        <f>'Counseling'!W7+'Counseling'!W26+'Counseling'!W45+'Counseling'!W64</f>
        <v/>
      </c>
      <c r="N61" s="19">
        <f>'Counseling'!X7+'Counseling'!X26+'Counseling'!X45+'Counseling'!X64</f>
        <v/>
      </c>
    </row>
    <row r="62">
      <c r="A62" s="18" t="inlineStr">
        <is>
          <t>Sumeyah Khan</t>
        </is>
      </c>
      <c r="B62" s="19">
        <f>'Counseling'!V8</f>
        <v/>
      </c>
      <c r="C62" s="19">
        <f>'Counseling'!V27</f>
        <v/>
      </c>
      <c r="D62" s="19">
        <f>'Counseling'!V46</f>
        <v/>
      </c>
      <c r="E62" s="19">
        <f>'Counseling'!V65</f>
        <v/>
      </c>
      <c r="F62" s="20">
        <f>SUM(B62:E62)</f>
        <v/>
      </c>
      <c r="G62" s="19">
        <f>'Counseling'!Y8</f>
        <v/>
      </c>
      <c r="H62" s="19">
        <f>'Counseling'!Y27</f>
        <v/>
      </c>
      <c r="I62" s="19">
        <f>'Counseling'!Y46</f>
        <v/>
      </c>
      <c r="J62" s="19">
        <f>'Counseling'!Y65</f>
        <v/>
      </c>
      <c r="K62" s="20">
        <f>SUM(G62:J62)</f>
        <v/>
      </c>
      <c r="L62" s="21">
        <f>IF(K62=0,"",F62/K62)</f>
        <v/>
      </c>
      <c r="M62" s="19">
        <f>'Counseling'!W8+'Counseling'!W27+'Counseling'!W46+'Counseling'!W65</f>
        <v/>
      </c>
      <c r="N62" s="19">
        <f>'Counseling'!X8+'Counseling'!X27+'Counseling'!X46+'Counseling'!X65</f>
        <v/>
      </c>
    </row>
    <row r="63">
      <c r="A63" s="18" t="inlineStr">
        <is>
          <t>Maria Mujeeb</t>
        </is>
      </c>
      <c r="B63" s="19">
        <f>'Counseling'!V9</f>
        <v/>
      </c>
      <c r="C63" s="19">
        <f>'Counseling'!V28</f>
        <v/>
      </c>
      <c r="D63" s="19">
        <f>'Counseling'!V47</f>
        <v/>
      </c>
      <c r="E63" s="19">
        <f>'Counseling'!V66</f>
        <v/>
      </c>
      <c r="F63" s="20">
        <f>SUM(B63:E63)</f>
        <v/>
      </c>
      <c r="G63" s="19">
        <f>'Counseling'!Y9</f>
        <v/>
      </c>
      <c r="H63" s="19">
        <f>'Counseling'!Y28</f>
        <v/>
      </c>
      <c r="I63" s="19">
        <f>'Counseling'!Y47</f>
        <v/>
      </c>
      <c r="J63" s="19">
        <f>'Counseling'!Y66</f>
        <v/>
      </c>
      <c r="K63" s="20">
        <f>SUM(G63:J63)</f>
        <v/>
      </c>
      <c r="L63" s="21">
        <f>IF(K63=0,"",F63/K63)</f>
        <v/>
      </c>
      <c r="M63" s="19">
        <f>'Counseling'!W9+'Counseling'!W28+'Counseling'!W47+'Counseling'!W66</f>
        <v/>
      </c>
      <c r="N63" s="19">
        <f>'Counseling'!X9+'Counseling'!X28+'Counseling'!X47+'Counseling'!X66</f>
        <v/>
      </c>
    </row>
    <row r="64">
      <c r="A64" s="18" t="inlineStr">
        <is>
          <t>Jace Ratliff</t>
        </is>
      </c>
      <c r="B64" s="19">
        <f>'Counseling'!V10</f>
        <v/>
      </c>
      <c r="C64" s="19">
        <f>'Counseling'!V29</f>
        <v/>
      </c>
      <c r="D64" s="19">
        <f>'Counseling'!V48</f>
        <v/>
      </c>
      <c r="E64" s="19">
        <f>'Counseling'!V67</f>
        <v/>
      </c>
      <c r="F64" s="20">
        <f>SUM(B64:E64)</f>
        <v/>
      </c>
      <c r="G64" s="19">
        <f>'Counseling'!Y10</f>
        <v/>
      </c>
      <c r="H64" s="19">
        <f>'Counseling'!Y29</f>
        <v/>
      </c>
      <c r="I64" s="19">
        <f>'Counseling'!Y48</f>
        <v/>
      </c>
      <c r="J64" s="19">
        <f>'Counseling'!Y67</f>
        <v/>
      </c>
      <c r="K64" s="20">
        <f>SUM(G64:J64)</f>
        <v/>
      </c>
      <c r="L64" s="21">
        <f>IF(K64=0,"",F64/K64)</f>
        <v/>
      </c>
      <c r="M64" s="19">
        <f>'Counseling'!W10+'Counseling'!W29+'Counseling'!W48+'Counseling'!W67</f>
        <v/>
      </c>
      <c r="N64" s="19">
        <f>'Counseling'!X10+'Counseling'!X29+'Counseling'!X48+'Counseling'!X67</f>
        <v/>
      </c>
    </row>
    <row r="65">
      <c r="A65" s="18" t="inlineStr">
        <is>
          <t>Evan Allen</t>
        </is>
      </c>
      <c r="B65" s="19">
        <f>'Counseling'!V11</f>
        <v/>
      </c>
      <c r="C65" s="19">
        <f>'Counseling'!V30</f>
        <v/>
      </c>
      <c r="D65" s="19">
        <f>'Counseling'!V49</f>
        <v/>
      </c>
      <c r="E65" s="19">
        <f>'Counseling'!V68</f>
        <v/>
      </c>
      <c r="F65" s="20">
        <f>SUM(B65:E65)</f>
        <v/>
      </c>
      <c r="G65" s="19">
        <f>'Counseling'!Y11</f>
        <v/>
      </c>
      <c r="H65" s="19">
        <f>'Counseling'!Y30</f>
        <v/>
      </c>
      <c r="I65" s="19">
        <f>'Counseling'!Y49</f>
        <v/>
      </c>
      <c r="J65" s="19">
        <f>'Counseling'!Y68</f>
        <v/>
      </c>
      <c r="K65" s="20">
        <f>SUM(G65:J65)</f>
        <v/>
      </c>
      <c r="L65" s="21">
        <f>IF(K65=0,"",F65/K65)</f>
        <v/>
      </c>
      <c r="M65" s="19">
        <f>'Counseling'!W11+'Counseling'!W30+'Counseling'!W49+'Counseling'!W68</f>
        <v/>
      </c>
      <c r="N65" s="19">
        <f>'Counseling'!X11+'Counseling'!X30+'Counseling'!X49+'Counseling'!X68</f>
        <v/>
      </c>
    </row>
    <row r="66">
      <c r="A66" s="18" t="inlineStr">
        <is>
          <t>Sai Neelagiri</t>
        </is>
      </c>
      <c r="B66" s="19">
        <f>'Counseling'!V12</f>
        <v/>
      </c>
      <c r="C66" s="19">
        <f>'Counseling'!V31</f>
        <v/>
      </c>
      <c r="D66" s="19">
        <f>'Counseling'!V50</f>
        <v/>
      </c>
      <c r="E66" s="19">
        <f>'Counseling'!V69</f>
        <v/>
      </c>
      <c r="F66" s="20">
        <f>SUM(B66:E66)</f>
        <v/>
      </c>
      <c r="G66" s="19">
        <f>'Counseling'!Y12</f>
        <v/>
      </c>
      <c r="H66" s="19">
        <f>'Counseling'!Y31</f>
        <v/>
      </c>
      <c r="I66" s="19">
        <f>'Counseling'!Y50</f>
        <v/>
      </c>
      <c r="J66" s="19">
        <f>'Counseling'!Y69</f>
        <v/>
      </c>
      <c r="K66" s="20">
        <f>SUM(G66:J66)</f>
        <v/>
      </c>
      <c r="L66" s="21">
        <f>IF(K66=0,"",F66/K66)</f>
        <v/>
      </c>
      <c r="M66" s="19">
        <f>'Counseling'!W12+'Counseling'!W31+'Counseling'!W50+'Counseling'!W69</f>
        <v/>
      </c>
      <c r="N66" s="19">
        <f>'Counseling'!X12+'Counseling'!X31+'Counseling'!X50+'Counseling'!X69</f>
        <v/>
      </c>
    </row>
    <row r="67">
      <c r="A67" s="18" t="inlineStr">
        <is>
          <t>Fletcher Meese</t>
        </is>
      </c>
      <c r="B67" s="19">
        <f>'Counseling'!V13</f>
        <v/>
      </c>
      <c r="C67" s="19">
        <f>'Counseling'!V32</f>
        <v/>
      </c>
      <c r="D67" s="19">
        <f>'Counseling'!V51</f>
        <v/>
      </c>
      <c r="E67" s="19">
        <f>'Counseling'!V70</f>
        <v/>
      </c>
      <c r="F67" s="20">
        <f>SUM(B67:E67)</f>
        <v/>
      </c>
      <c r="G67" s="19">
        <f>'Counseling'!Y13</f>
        <v/>
      </c>
      <c r="H67" s="19">
        <f>'Counseling'!Y32</f>
        <v/>
      </c>
      <c r="I67" s="19">
        <f>'Counseling'!Y51</f>
        <v/>
      </c>
      <c r="J67" s="19">
        <f>'Counseling'!Y70</f>
        <v/>
      </c>
      <c r="K67" s="20">
        <f>SUM(G67:J67)</f>
        <v/>
      </c>
      <c r="L67" s="21">
        <f>IF(K67=0,"",F67/K67)</f>
        <v/>
      </c>
      <c r="M67" s="19">
        <f>'Counseling'!W13+'Counseling'!W32+'Counseling'!W51+'Counseling'!W70</f>
        <v/>
      </c>
      <c r="N67" s="19">
        <f>'Counseling'!X13+'Counseling'!X32+'Counseling'!X51+'Counseling'!X70</f>
        <v/>
      </c>
    </row>
    <row r="68">
      <c r="A68" s="18" t="inlineStr">
        <is>
          <t>Elijah Aldaco</t>
        </is>
      </c>
      <c r="B68" s="19">
        <f>'Counseling'!V14</f>
        <v/>
      </c>
      <c r="C68" s="19">
        <f>'Counseling'!V33</f>
        <v/>
      </c>
      <c r="D68" s="19">
        <f>'Counseling'!V52</f>
        <v/>
      </c>
      <c r="E68" s="19">
        <f>'Counseling'!V71</f>
        <v/>
      </c>
      <c r="F68" s="20">
        <f>SUM(B68:E68)</f>
        <v/>
      </c>
      <c r="G68" s="19">
        <f>'Counseling'!Y14</f>
        <v/>
      </c>
      <c r="H68" s="19">
        <f>'Counseling'!Y33</f>
        <v/>
      </c>
      <c r="I68" s="19">
        <f>'Counseling'!Y52</f>
        <v/>
      </c>
      <c r="J68" s="19">
        <f>'Counseling'!Y71</f>
        <v/>
      </c>
      <c r="K68" s="20">
        <f>SUM(G68:J68)</f>
        <v/>
      </c>
      <c r="L68" s="21">
        <f>IF(K68=0,"",F68/K68)</f>
        <v/>
      </c>
      <c r="M68" s="19">
        <f>'Counseling'!W14+'Counseling'!W33+'Counseling'!W52+'Counseling'!W71</f>
        <v/>
      </c>
      <c r="N68" s="19">
        <f>'Counseling'!X14+'Counseling'!X33+'Counseling'!X52+'Counseling'!X71</f>
        <v/>
      </c>
    </row>
    <row r="69">
      <c r="A69" s="18" t="inlineStr">
        <is>
          <t>Cain Gutierrez</t>
        </is>
      </c>
      <c r="B69" s="19">
        <f>'Counseling'!V15</f>
        <v/>
      </c>
      <c r="C69" s="19">
        <f>'Counseling'!V34</f>
        <v/>
      </c>
      <c r="D69" s="19">
        <f>'Counseling'!V53</f>
        <v/>
      </c>
      <c r="E69" s="19">
        <f>'Counseling'!V72</f>
        <v/>
      </c>
      <c r="F69" s="20">
        <f>SUM(B69:E69)</f>
        <v/>
      </c>
      <c r="G69" s="19">
        <f>'Counseling'!Y15</f>
        <v/>
      </c>
      <c r="H69" s="19">
        <f>'Counseling'!Y34</f>
        <v/>
      </c>
      <c r="I69" s="19">
        <f>'Counseling'!Y53</f>
        <v/>
      </c>
      <c r="J69" s="19">
        <f>'Counseling'!Y72</f>
        <v/>
      </c>
      <c r="K69" s="20">
        <f>SUM(G69:J69)</f>
        <v/>
      </c>
      <c r="L69" s="21">
        <f>IF(K69=0,"",F69/K69)</f>
        <v/>
      </c>
      <c r="M69" s="19">
        <f>'Counseling'!W15+'Counseling'!W34+'Counseling'!W53+'Counseling'!W72</f>
        <v/>
      </c>
      <c r="N69" s="19">
        <f>'Counseling'!X15+'Counseling'!X34+'Counseling'!X53+'Counseling'!X72</f>
        <v/>
      </c>
    </row>
    <row r="70">
      <c r="A70" s="18" t="inlineStr">
        <is>
          <t>Grayson Barnhart</t>
        </is>
      </c>
      <c r="B70" s="19">
        <f>'Counseling'!V16</f>
        <v/>
      </c>
      <c r="C70" s="19">
        <f>'Counseling'!V35</f>
        <v/>
      </c>
      <c r="D70" s="19">
        <f>'Counseling'!V54</f>
        <v/>
      </c>
      <c r="E70" s="19">
        <f>'Counseling'!V73</f>
        <v/>
      </c>
      <c r="F70" s="20">
        <f>SUM(B70:E70)</f>
        <v/>
      </c>
      <c r="G70" s="19">
        <f>'Counseling'!Y16</f>
        <v/>
      </c>
      <c r="H70" s="19">
        <f>'Counseling'!Y35</f>
        <v/>
      </c>
      <c r="I70" s="19">
        <f>'Counseling'!Y54</f>
        <v/>
      </c>
      <c r="J70" s="19">
        <f>'Counseling'!Y73</f>
        <v/>
      </c>
      <c r="K70" s="20">
        <f>SUM(G70:J70)</f>
        <v/>
      </c>
      <c r="L70" s="21">
        <f>IF(K70=0,"",F70/K70)</f>
        <v/>
      </c>
      <c r="M70" s="19">
        <f>'Counseling'!W16+'Counseling'!W35+'Counseling'!W54+'Counseling'!W73</f>
        <v/>
      </c>
      <c r="N70" s="19">
        <f>'Counseling'!X16+'Counseling'!X35+'Counseling'!X54+'Counseling'!X73</f>
        <v/>
      </c>
    </row>
    <row r="71">
      <c r="A71" s="18" t="inlineStr">
        <is>
          <t>Abel Abraham</t>
        </is>
      </c>
      <c r="B71" s="19">
        <f>'Counseling'!V17</f>
        <v/>
      </c>
      <c r="C71" s="19">
        <f>'Counseling'!V36</f>
        <v/>
      </c>
      <c r="D71" s="19">
        <f>'Counseling'!V55</f>
        <v/>
      </c>
      <c r="E71" s="19">
        <f>'Counseling'!V74</f>
        <v/>
      </c>
      <c r="F71" s="20">
        <f>SUM(B71:E71)</f>
        <v/>
      </c>
      <c r="G71" s="19">
        <f>'Counseling'!Y17</f>
        <v/>
      </c>
      <c r="H71" s="19">
        <f>'Counseling'!Y36</f>
        <v/>
      </c>
      <c r="I71" s="19">
        <f>'Counseling'!Y55</f>
        <v/>
      </c>
      <c r="J71" s="19">
        <f>'Counseling'!Y74</f>
        <v/>
      </c>
      <c r="K71" s="20">
        <f>SUM(G71:J71)</f>
        <v/>
      </c>
      <c r="L71" s="21">
        <f>IF(K71=0,"",F71/K71)</f>
        <v/>
      </c>
      <c r="M71" s="19">
        <f>'Counseling'!W17+'Counseling'!W36+'Counseling'!W55+'Counseling'!W74</f>
        <v/>
      </c>
      <c r="N71" s="19">
        <f>'Counseling'!X17+'Counseling'!X36+'Counseling'!X55+'Counseling'!X74</f>
        <v/>
      </c>
    </row>
    <row r="72">
      <c r="A72" s="18" t="inlineStr">
        <is>
          <t>John Joby</t>
        </is>
      </c>
      <c r="B72" s="19">
        <f>'Counseling'!V18</f>
        <v/>
      </c>
      <c r="C72" s="19">
        <f>'Counseling'!V37</f>
        <v/>
      </c>
      <c r="D72" s="19">
        <f>'Counseling'!V56</f>
        <v/>
      </c>
      <c r="E72" s="19">
        <f>'Counseling'!V75</f>
        <v/>
      </c>
      <c r="F72" s="20">
        <f>SUM(B72:E72)</f>
        <v/>
      </c>
      <c r="G72" s="19">
        <f>'Counseling'!Y18</f>
        <v/>
      </c>
      <c r="H72" s="19">
        <f>'Counseling'!Y37</f>
        <v/>
      </c>
      <c r="I72" s="19">
        <f>'Counseling'!Y56</f>
        <v/>
      </c>
      <c r="J72" s="19">
        <f>'Counseling'!Y75</f>
        <v/>
      </c>
      <c r="K72" s="20">
        <f>SUM(G72:J72)</f>
        <v/>
      </c>
      <c r="L72" s="21">
        <f>IF(K72=0,"",F72/K72)</f>
        <v/>
      </c>
      <c r="M72" s="19">
        <f>'Counseling'!W18+'Counseling'!W37+'Counseling'!W56+'Counseling'!W75</f>
        <v/>
      </c>
      <c r="N72" s="19">
        <f>'Counseling'!X18+'Counseling'!X37+'Counseling'!X56+'Counseling'!X75</f>
        <v/>
      </c>
    </row>
    <row r="73">
      <c r="A73" s="18" t="inlineStr">
        <is>
          <t>Jason Bean</t>
        </is>
      </c>
      <c r="B73" s="19">
        <f>'Counseling'!V19</f>
        <v/>
      </c>
      <c r="C73" s="19">
        <f>'Counseling'!V38</f>
        <v/>
      </c>
      <c r="D73" s="19">
        <f>'Counseling'!V57</f>
        <v/>
      </c>
      <c r="E73" s="19">
        <f>'Counseling'!V76</f>
        <v/>
      </c>
      <c r="F73" s="20">
        <f>SUM(B73:E73)</f>
        <v/>
      </c>
      <c r="G73" s="19">
        <f>'Counseling'!Y19</f>
        <v/>
      </c>
      <c r="H73" s="19">
        <f>'Counseling'!Y38</f>
        <v/>
      </c>
      <c r="I73" s="19">
        <f>'Counseling'!Y57</f>
        <v/>
      </c>
      <c r="J73" s="19">
        <f>'Counseling'!Y76</f>
        <v/>
      </c>
      <c r="K73" s="20">
        <f>SUM(G73:J73)</f>
        <v/>
      </c>
      <c r="L73" s="21">
        <f>IF(K73=0,"",F73/K73)</f>
        <v/>
      </c>
      <c r="M73" s="19">
        <f>'Counseling'!W19+'Counseling'!W38+'Counseling'!W57+'Counseling'!W76</f>
        <v/>
      </c>
      <c r="N73" s="19">
        <f>'Counseling'!X19+'Counseling'!X38+'Counseling'!X57+'Counseling'!X76</f>
        <v/>
      </c>
    </row>
    <row r="75">
      <c r="A75" s="38" t="inlineStr">
        <is>
          <t>Inclusion Support</t>
        </is>
      </c>
    </row>
    <row r="76">
      <c r="A76" s="17" t="inlineStr">
        <is>
          <t>Student Name</t>
        </is>
      </c>
      <c r="B76" s="17" t="inlineStr">
        <is>
          <t>Q1 Met</t>
        </is>
      </c>
      <c r="C76" s="17" t="inlineStr">
        <is>
          <t>Q2 Met</t>
        </is>
      </c>
      <c r="D76" s="17" t="inlineStr">
        <is>
          <t>Q3 Met</t>
        </is>
      </c>
      <c r="E76" s="17" t="inlineStr">
        <is>
          <t>Q4 Met</t>
        </is>
      </c>
      <c r="F76" s="17" t="inlineStr">
        <is>
          <t>Year Total</t>
        </is>
      </c>
      <c r="G76" s="17" t="inlineStr">
        <is>
          <t>Q1 IEP</t>
        </is>
      </c>
      <c r="H76" s="17" t="inlineStr">
        <is>
          <t>Q2 IEP</t>
        </is>
      </c>
      <c r="I76" s="17" t="inlineStr">
        <is>
          <t>Q3 IEP</t>
        </is>
      </c>
      <c r="J76" s="17" t="inlineStr">
        <is>
          <t>Q4 IEP</t>
        </is>
      </c>
      <c r="K76" s="17" t="inlineStr">
        <is>
          <t>Annual IEP</t>
        </is>
      </c>
      <c r="L76" s="17" t="inlineStr">
        <is>
          <t>Year %</t>
        </is>
      </c>
      <c r="M76" s="17" t="inlineStr">
        <is>
          <t>Total Sess</t>
        </is>
      </c>
      <c r="N76" s="17" t="inlineStr">
        <is>
          <t>Total Abs</t>
        </is>
      </c>
    </row>
    <row r="77">
      <c r="A77" s="18" t="inlineStr">
        <is>
          <t>Raya Hightower</t>
        </is>
      </c>
      <c r="B77" s="19">
        <f>'Inclusion Support'!V5</f>
        <v/>
      </c>
      <c r="C77" s="19">
        <f>'Inclusion Support'!V24</f>
        <v/>
      </c>
      <c r="D77" s="19">
        <f>'Inclusion Support'!V43</f>
        <v/>
      </c>
      <c r="E77" s="19">
        <f>'Inclusion Support'!V62</f>
        <v/>
      </c>
      <c r="F77" s="20">
        <f>SUM(B77:E77)</f>
        <v/>
      </c>
      <c r="G77" s="19">
        <f>'Inclusion Support'!Y5</f>
        <v/>
      </c>
      <c r="H77" s="19">
        <f>'Inclusion Support'!Y24</f>
        <v/>
      </c>
      <c r="I77" s="19">
        <f>'Inclusion Support'!Y43</f>
        <v/>
      </c>
      <c r="J77" s="19">
        <f>'Inclusion Support'!Y62</f>
        <v/>
      </c>
      <c r="K77" s="20">
        <f>SUM(G77:J77)</f>
        <v/>
      </c>
      <c r="L77" s="21">
        <f>IF(K77=0,"",F77/K77)</f>
        <v/>
      </c>
      <c r="M77" s="19">
        <f>'Inclusion Support'!W5+'Inclusion Support'!W24+'Inclusion Support'!W43+'Inclusion Support'!W62</f>
        <v/>
      </c>
      <c r="N77" s="19">
        <f>'Inclusion Support'!X5+'Inclusion Support'!X24+'Inclusion Support'!X43+'Inclusion Support'!X62</f>
        <v/>
      </c>
    </row>
    <row r="78">
      <c r="A78" s="18" t="inlineStr">
        <is>
          <t>Anu Vijay Anand</t>
        </is>
      </c>
      <c r="B78" s="19">
        <f>'Inclusion Support'!V6</f>
        <v/>
      </c>
      <c r="C78" s="19">
        <f>'Inclusion Support'!V25</f>
        <v/>
      </c>
      <c r="D78" s="19">
        <f>'Inclusion Support'!V44</f>
        <v/>
      </c>
      <c r="E78" s="19">
        <f>'Inclusion Support'!V63</f>
        <v/>
      </c>
      <c r="F78" s="20">
        <f>SUM(B78:E78)</f>
        <v/>
      </c>
      <c r="G78" s="19">
        <f>'Inclusion Support'!Y6</f>
        <v/>
      </c>
      <c r="H78" s="19">
        <f>'Inclusion Support'!Y25</f>
        <v/>
      </c>
      <c r="I78" s="19">
        <f>'Inclusion Support'!Y44</f>
        <v/>
      </c>
      <c r="J78" s="19">
        <f>'Inclusion Support'!Y63</f>
        <v/>
      </c>
      <c r="K78" s="20">
        <f>SUM(G78:J78)</f>
        <v/>
      </c>
      <c r="L78" s="21">
        <f>IF(K78=0,"",F78/K78)</f>
        <v/>
      </c>
      <c r="M78" s="19">
        <f>'Inclusion Support'!W6+'Inclusion Support'!W25+'Inclusion Support'!W44+'Inclusion Support'!W63</f>
        <v/>
      </c>
      <c r="N78" s="19">
        <f>'Inclusion Support'!X6+'Inclusion Support'!X25+'Inclusion Support'!X44+'Inclusion Support'!X63</f>
        <v/>
      </c>
    </row>
    <row r="79">
      <c r="A79" s="18" t="inlineStr">
        <is>
          <t>Aadhya Gone</t>
        </is>
      </c>
      <c r="B79" s="19">
        <f>'Inclusion Support'!V7</f>
        <v/>
      </c>
      <c r="C79" s="19">
        <f>'Inclusion Support'!V26</f>
        <v/>
      </c>
      <c r="D79" s="19">
        <f>'Inclusion Support'!V45</f>
        <v/>
      </c>
      <c r="E79" s="19">
        <f>'Inclusion Support'!V64</f>
        <v/>
      </c>
      <c r="F79" s="20">
        <f>SUM(B79:E79)</f>
        <v/>
      </c>
      <c r="G79" s="19">
        <f>'Inclusion Support'!Y7</f>
        <v/>
      </c>
      <c r="H79" s="19">
        <f>'Inclusion Support'!Y26</f>
        <v/>
      </c>
      <c r="I79" s="19">
        <f>'Inclusion Support'!Y45</f>
        <v/>
      </c>
      <c r="J79" s="19">
        <f>'Inclusion Support'!Y64</f>
        <v/>
      </c>
      <c r="K79" s="20">
        <f>SUM(G79:J79)</f>
        <v/>
      </c>
      <c r="L79" s="21">
        <f>IF(K79=0,"",F79/K79)</f>
        <v/>
      </c>
      <c r="M79" s="19">
        <f>'Inclusion Support'!W7+'Inclusion Support'!W26+'Inclusion Support'!W45+'Inclusion Support'!W64</f>
        <v/>
      </c>
      <c r="N79" s="19">
        <f>'Inclusion Support'!X7+'Inclusion Support'!X26+'Inclusion Support'!X45+'Inclusion Support'!X64</f>
        <v/>
      </c>
    </row>
    <row r="80">
      <c r="A80" s="18" t="inlineStr">
        <is>
          <t>Sumeyah Khan</t>
        </is>
      </c>
      <c r="B80" s="19">
        <f>'Inclusion Support'!V8</f>
        <v/>
      </c>
      <c r="C80" s="19">
        <f>'Inclusion Support'!V27</f>
        <v/>
      </c>
      <c r="D80" s="19">
        <f>'Inclusion Support'!V46</f>
        <v/>
      </c>
      <c r="E80" s="19">
        <f>'Inclusion Support'!V65</f>
        <v/>
      </c>
      <c r="F80" s="20">
        <f>SUM(B80:E80)</f>
        <v/>
      </c>
      <c r="G80" s="19">
        <f>'Inclusion Support'!Y8</f>
        <v/>
      </c>
      <c r="H80" s="19">
        <f>'Inclusion Support'!Y27</f>
        <v/>
      </c>
      <c r="I80" s="19">
        <f>'Inclusion Support'!Y46</f>
        <v/>
      </c>
      <c r="J80" s="19">
        <f>'Inclusion Support'!Y65</f>
        <v/>
      </c>
      <c r="K80" s="20">
        <f>SUM(G80:J80)</f>
        <v/>
      </c>
      <c r="L80" s="21">
        <f>IF(K80=0,"",F80/K80)</f>
        <v/>
      </c>
      <c r="M80" s="19">
        <f>'Inclusion Support'!W8+'Inclusion Support'!W27+'Inclusion Support'!W46+'Inclusion Support'!W65</f>
        <v/>
      </c>
      <c r="N80" s="19">
        <f>'Inclusion Support'!X8+'Inclusion Support'!X27+'Inclusion Support'!X46+'Inclusion Support'!X65</f>
        <v/>
      </c>
    </row>
    <row r="81">
      <c r="A81" s="18" t="inlineStr">
        <is>
          <t>Maria Mujeeb</t>
        </is>
      </c>
      <c r="B81" s="19">
        <f>'Inclusion Support'!V9</f>
        <v/>
      </c>
      <c r="C81" s="19">
        <f>'Inclusion Support'!V28</f>
        <v/>
      </c>
      <c r="D81" s="19">
        <f>'Inclusion Support'!V47</f>
        <v/>
      </c>
      <c r="E81" s="19">
        <f>'Inclusion Support'!V66</f>
        <v/>
      </c>
      <c r="F81" s="20">
        <f>SUM(B81:E81)</f>
        <v/>
      </c>
      <c r="G81" s="19">
        <f>'Inclusion Support'!Y9</f>
        <v/>
      </c>
      <c r="H81" s="19">
        <f>'Inclusion Support'!Y28</f>
        <v/>
      </c>
      <c r="I81" s="19">
        <f>'Inclusion Support'!Y47</f>
        <v/>
      </c>
      <c r="J81" s="19">
        <f>'Inclusion Support'!Y66</f>
        <v/>
      </c>
      <c r="K81" s="20">
        <f>SUM(G81:J81)</f>
        <v/>
      </c>
      <c r="L81" s="21">
        <f>IF(K81=0,"",F81/K81)</f>
        <v/>
      </c>
      <c r="M81" s="19">
        <f>'Inclusion Support'!W9+'Inclusion Support'!W28+'Inclusion Support'!W47+'Inclusion Support'!W66</f>
        <v/>
      </c>
      <c r="N81" s="19">
        <f>'Inclusion Support'!X9+'Inclusion Support'!X28+'Inclusion Support'!X47+'Inclusion Support'!X66</f>
        <v/>
      </c>
    </row>
    <row r="82">
      <c r="A82" s="18" t="inlineStr">
        <is>
          <t>Jace Ratliff</t>
        </is>
      </c>
      <c r="B82" s="19">
        <f>'Inclusion Support'!V10</f>
        <v/>
      </c>
      <c r="C82" s="19">
        <f>'Inclusion Support'!V29</f>
        <v/>
      </c>
      <c r="D82" s="19">
        <f>'Inclusion Support'!V48</f>
        <v/>
      </c>
      <c r="E82" s="19">
        <f>'Inclusion Support'!V67</f>
        <v/>
      </c>
      <c r="F82" s="20">
        <f>SUM(B82:E82)</f>
        <v/>
      </c>
      <c r="G82" s="19">
        <f>'Inclusion Support'!Y10</f>
        <v/>
      </c>
      <c r="H82" s="19">
        <f>'Inclusion Support'!Y29</f>
        <v/>
      </c>
      <c r="I82" s="19">
        <f>'Inclusion Support'!Y48</f>
        <v/>
      </c>
      <c r="J82" s="19">
        <f>'Inclusion Support'!Y67</f>
        <v/>
      </c>
      <c r="K82" s="20">
        <f>SUM(G82:J82)</f>
        <v/>
      </c>
      <c r="L82" s="21">
        <f>IF(K82=0,"",F82/K82)</f>
        <v/>
      </c>
      <c r="M82" s="19">
        <f>'Inclusion Support'!W10+'Inclusion Support'!W29+'Inclusion Support'!W48+'Inclusion Support'!W67</f>
        <v/>
      </c>
      <c r="N82" s="19">
        <f>'Inclusion Support'!X10+'Inclusion Support'!X29+'Inclusion Support'!X48+'Inclusion Support'!X67</f>
        <v/>
      </c>
    </row>
    <row r="83">
      <c r="A83" s="18" t="inlineStr">
        <is>
          <t>Evan Allen</t>
        </is>
      </c>
      <c r="B83" s="19">
        <f>'Inclusion Support'!V11</f>
        <v/>
      </c>
      <c r="C83" s="19">
        <f>'Inclusion Support'!V30</f>
        <v/>
      </c>
      <c r="D83" s="19">
        <f>'Inclusion Support'!V49</f>
        <v/>
      </c>
      <c r="E83" s="19">
        <f>'Inclusion Support'!V68</f>
        <v/>
      </c>
      <c r="F83" s="20">
        <f>SUM(B83:E83)</f>
        <v/>
      </c>
      <c r="G83" s="19">
        <f>'Inclusion Support'!Y11</f>
        <v/>
      </c>
      <c r="H83" s="19">
        <f>'Inclusion Support'!Y30</f>
        <v/>
      </c>
      <c r="I83" s="19">
        <f>'Inclusion Support'!Y49</f>
        <v/>
      </c>
      <c r="J83" s="19">
        <f>'Inclusion Support'!Y68</f>
        <v/>
      </c>
      <c r="K83" s="20">
        <f>SUM(G83:J83)</f>
        <v/>
      </c>
      <c r="L83" s="21">
        <f>IF(K83=0,"",F83/K83)</f>
        <v/>
      </c>
      <c r="M83" s="19">
        <f>'Inclusion Support'!W11+'Inclusion Support'!W30+'Inclusion Support'!W49+'Inclusion Support'!W68</f>
        <v/>
      </c>
      <c r="N83" s="19">
        <f>'Inclusion Support'!X11+'Inclusion Support'!X30+'Inclusion Support'!X49+'Inclusion Support'!X68</f>
        <v/>
      </c>
    </row>
    <row r="84">
      <c r="A84" s="18" t="inlineStr">
        <is>
          <t>Sai Neelagiri</t>
        </is>
      </c>
      <c r="B84" s="19">
        <f>'Inclusion Support'!V12</f>
        <v/>
      </c>
      <c r="C84" s="19">
        <f>'Inclusion Support'!V31</f>
        <v/>
      </c>
      <c r="D84" s="19">
        <f>'Inclusion Support'!V50</f>
        <v/>
      </c>
      <c r="E84" s="19">
        <f>'Inclusion Support'!V69</f>
        <v/>
      </c>
      <c r="F84" s="20">
        <f>SUM(B84:E84)</f>
        <v/>
      </c>
      <c r="G84" s="19">
        <f>'Inclusion Support'!Y12</f>
        <v/>
      </c>
      <c r="H84" s="19">
        <f>'Inclusion Support'!Y31</f>
        <v/>
      </c>
      <c r="I84" s="19">
        <f>'Inclusion Support'!Y50</f>
        <v/>
      </c>
      <c r="J84" s="19">
        <f>'Inclusion Support'!Y69</f>
        <v/>
      </c>
      <c r="K84" s="20">
        <f>SUM(G84:J84)</f>
        <v/>
      </c>
      <c r="L84" s="21">
        <f>IF(K84=0,"",F84/K84)</f>
        <v/>
      </c>
      <c r="M84" s="19">
        <f>'Inclusion Support'!W12+'Inclusion Support'!W31+'Inclusion Support'!W50+'Inclusion Support'!W69</f>
        <v/>
      </c>
      <c r="N84" s="19">
        <f>'Inclusion Support'!X12+'Inclusion Support'!X31+'Inclusion Support'!X50+'Inclusion Support'!X69</f>
        <v/>
      </c>
    </row>
    <row r="85">
      <c r="A85" s="18" t="inlineStr">
        <is>
          <t>Fletcher Meese</t>
        </is>
      </c>
      <c r="B85" s="19">
        <f>'Inclusion Support'!V13</f>
        <v/>
      </c>
      <c r="C85" s="19">
        <f>'Inclusion Support'!V32</f>
        <v/>
      </c>
      <c r="D85" s="19">
        <f>'Inclusion Support'!V51</f>
        <v/>
      </c>
      <c r="E85" s="19">
        <f>'Inclusion Support'!V70</f>
        <v/>
      </c>
      <c r="F85" s="20">
        <f>SUM(B85:E85)</f>
        <v/>
      </c>
      <c r="G85" s="19">
        <f>'Inclusion Support'!Y13</f>
        <v/>
      </c>
      <c r="H85" s="19">
        <f>'Inclusion Support'!Y32</f>
        <v/>
      </c>
      <c r="I85" s="19">
        <f>'Inclusion Support'!Y51</f>
        <v/>
      </c>
      <c r="J85" s="19">
        <f>'Inclusion Support'!Y70</f>
        <v/>
      </c>
      <c r="K85" s="20">
        <f>SUM(G85:J85)</f>
        <v/>
      </c>
      <c r="L85" s="21">
        <f>IF(K85=0,"",F85/K85)</f>
        <v/>
      </c>
      <c r="M85" s="19">
        <f>'Inclusion Support'!W13+'Inclusion Support'!W32+'Inclusion Support'!W51+'Inclusion Support'!W70</f>
        <v/>
      </c>
      <c r="N85" s="19">
        <f>'Inclusion Support'!X13+'Inclusion Support'!X32+'Inclusion Support'!X51+'Inclusion Support'!X70</f>
        <v/>
      </c>
    </row>
    <row r="86">
      <c r="A86" s="18" t="inlineStr">
        <is>
          <t>Elijah Aldaco</t>
        </is>
      </c>
      <c r="B86" s="19">
        <f>'Inclusion Support'!V14</f>
        <v/>
      </c>
      <c r="C86" s="19">
        <f>'Inclusion Support'!V33</f>
        <v/>
      </c>
      <c r="D86" s="19">
        <f>'Inclusion Support'!V52</f>
        <v/>
      </c>
      <c r="E86" s="19">
        <f>'Inclusion Support'!V71</f>
        <v/>
      </c>
      <c r="F86" s="20">
        <f>SUM(B86:E86)</f>
        <v/>
      </c>
      <c r="G86" s="19">
        <f>'Inclusion Support'!Y14</f>
        <v/>
      </c>
      <c r="H86" s="19">
        <f>'Inclusion Support'!Y33</f>
        <v/>
      </c>
      <c r="I86" s="19">
        <f>'Inclusion Support'!Y52</f>
        <v/>
      </c>
      <c r="J86" s="19">
        <f>'Inclusion Support'!Y71</f>
        <v/>
      </c>
      <c r="K86" s="20">
        <f>SUM(G86:J86)</f>
        <v/>
      </c>
      <c r="L86" s="21">
        <f>IF(K86=0,"",F86/K86)</f>
        <v/>
      </c>
      <c r="M86" s="19">
        <f>'Inclusion Support'!W14+'Inclusion Support'!W33+'Inclusion Support'!W52+'Inclusion Support'!W71</f>
        <v/>
      </c>
      <c r="N86" s="19">
        <f>'Inclusion Support'!X14+'Inclusion Support'!X33+'Inclusion Support'!X52+'Inclusion Support'!X71</f>
        <v/>
      </c>
    </row>
    <row r="87">
      <c r="A87" s="18" t="inlineStr">
        <is>
          <t>Cain Gutierrez</t>
        </is>
      </c>
      <c r="B87" s="19">
        <f>'Inclusion Support'!V15</f>
        <v/>
      </c>
      <c r="C87" s="19">
        <f>'Inclusion Support'!V34</f>
        <v/>
      </c>
      <c r="D87" s="19">
        <f>'Inclusion Support'!V53</f>
        <v/>
      </c>
      <c r="E87" s="19">
        <f>'Inclusion Support'!V72</f>
        <v/>
      </c>
      <c r="F87" s="20">
        <f>SUM(B87:E87)</f>
        <v/>
      </c>
      <c r="G87" s="19">
        <f>'Inclusion Support'!Y15</f>
        <v/>
      </c>
      <c r="H87" s="19">
        <f>'Inclusion Support'!Y34</f>
        <v/>
      </c>
      <c r="I87" s="19">
        <f>'Inclusion Support'!Y53</f>
        <v/>
      </c>
      <c r="J87" s="19">
        <f>'Inclusion Support'!Y72</f>
        <v/>
      </c>
      <c r="K87" s="20">
        <f>SUM(G87:J87)</f>
        <v/>
      </c>
      <c r="L87" s="21">
        <f>IF(K87=0,"",F87/K87)</f>
        <v/>
      </c>
      <c r="M87" s="19">
        <f>'Inclusion Support'!W15+'Inclusion Support'!W34+'Inclusion Support'!W53+'Inclusion Support'!W72</f>
        <v/>
      </c>
      <c r="N87" s="19">
        <f>'Inclusion Support'!X15+'Inclusion Support'!X34+'Inclusion Support'!X53+'Inclusion Support'!X72</f>
        <v/>
      </c>
    </row>
    <row r="88">
      <c r="A88" s="18" t="inlineStr">
        <is>
          <t>Grayson Barnhart</t>
        </is>
      </c>
      <c r="B88" s="19">
        <f>'Inclusion Support'!V16</f>
        <v/>
      </c>
      <c r="C88" s="19">
        <f>'Inclusion Support'!V35</f>
        <v/>
      </c>
      <c r="D88" s="19">
        <f>'Inclusion Support'!V54</f>
        <v/>
      </c>
      <c r="E88" s="19">
        <f>'Inclusion Support'!V73</f>
        <v/>
      </c>
      <c r="F88" s="20">
        <f>SUM(B88:E88)</f>
        <v/>
      </c>
      <c r="G88" s="19">
        <f>'Inclusion Support'!Y16</f>
        <v/>
      </c>
      <c r="H88" s="19">
        <f>'Inclusion Support'!Y35</f>
        <v/>
      </c>
      <c r="I88" s="19">
        <f>'Inclusion Support'!Y54</f>
        <v/>
      </c>
      <c r="J88" s="19">
        <f>'Inclusion Support'!Y73</f>
        <v/>
      </c>
      <c r="K88" s="20">
        <f>SUM(G88:J88)</f>
        <v/>
      </c>
      <c r="L88" s="21">
        <f>IF(K88=0,"",F88/K88)</f>
        <v/>
      </c>
      <c r="M88" s="19">
        <f>'Inclusion Support'!W16+'Inclusion Support'!W35+'Inclusion Support'!W54+'Inclusion Support'!W73</f>
        <v/>
      </c>
      <c r="N88" s="19">
        <f>'Inclusion Support'!X16+'Inclusion Support'!X35+'Inclusion Support'!X54+'Inclusion Support'!X73</f>
        <v/>
      </c>
    </row>
    <row r="89">
      <c r="A89" s="18" t="inlineStr">
        <is>
          <t>Abel Abraham</t>
        </is>
      </c>
      <c r="B89" s="19">
        <f>'Inclusion Support'!V17</f>
        <v/>
      </c>
      <c r="C89" s="19">
        <f>'Inclusion Support'!V36</f>
        <v/>
      </c>
      <c r="D89" s="19">
        <f>'Inclusion Support'!V55</f>
        <v/>
      </c>
      <c r="E89" s="19">
        <f>'Inclusion Support'!V74</f>
        <v/>
      </c>
      <c r="F89" s="20">
        <f>SUM(B89:E89)</f>
        <v/>
      </c>
      <c r="G89" s="19">
        <f>'Inclusion Support'!Y17</f>
        <v/>
      </c>
      <c r="H89" s="19">
        <f>'Inclusion Support'!Y36</f>
        <v/>
      </c>
      <c r="I89" s="19">
        <f>'Inclusion Support'!Y55</f>
        <v/>
      </c>
      <c r="J89" s="19">
        <f>'Inclusion Support'!Y74</f>
        <v/>
      </c>
      <c r="K89" s="20">
        <f>SUM(G89:J89)</f>
        <v/>
      </c>
      <c r="L89" s="21">
        <f>IF(K89=0,"",F89/K89)</f>
        <v/>
      </c>
      <c r="M89" s="19">
        <f>'Inclusion Support'!W17+'Inclusion Support'!W36+'Inclusion Support'!W55+'Inclusion Support'!W74</f>
        <v/>
      </c>
      <c r="N89" s="19">
        <f>'Inclusion Support'!X17+'Inclusion Support'!X36+'Inclusion Support'!X55+'Inclusion Support'!X74</f>
        <v/>
      </c>
    </row>
    <row r="90">
      <c r="A90" s="18" t="inlineStr">
        <is>
          <t>John Joby</t>
        </is>
      </c>
      <c r="B90" s="19">
        <f>'Inclusion Support'!V18</f>
        <v/>
      </c>
      <c r="C90" s="19">
        <f>'Inclusion Support'!V37</f>
        <v/>
      </c>
      <c r="D90" s="19">
        <f>'Inclusion Support'!V56</f>
        <v/>
      </c>
      <c r="E90" s="19">
        <f>'Inclusion Support'!V75</f>
        <v/>
      </c>
      <c r="F90" s="20">
        <f>SUM(B90:E90)</f>
        <v/>
      </c>
      <c r="G90" s="19">
        <f>'Inclusion Support'!Y18</f>
        <v/>
      </c>
      <c r="H90" s="19">
        <f>'Inclusion Support'!Y37</f>
        <v/>
      </c>
      <c r="I90" s="19">
        <f>'Inclusion Support'!Y56</f>
        <v/>
      </c>
      <c r="J90" s="19">
        <f>'Inclusion Support'!Y75</f>
        <v/>
      </c>
      <c r="K90" s="20">
        <f>SUM(G90:J90)</f>
        <v/>
      </c>
      <c r="L90" s="21">
        <f>IF(K90=0,"",F90/K90)</f>
        <v/>
      </c>
      <c r="M90" s="19">
        <f>'Inclusion Support'!W18+'Inclusion Support'!W37+'Inclusion Support'!W56+'Inclusion Support'!W75</f>
        <v/>
      </c>
      <c r="N90" s="19">
        <f>'Inclusion Support'!X18+'Inclusion Support'!X37+'Inclusion Support'!X56+'Inclusion Support'!X75</f>
        <v/>
      </c>
    </row>
    <row r="91">
      <c r="A91" s="18" t="inlineStr">
        <is>
          <t>Jason Bean</t>
        </is>
      </c>
      <c r="B91" s="19">
        <f>'Inclusion Support'!V19</f>
        <v/>
      </c>
      <c r="C91" s="19">
        <f>'Inclusion Support'!V38</f>
        <v/>
      </c>
      <c r="D91" s="19">
        <f>'Inclusion Support'!V57</f>
        <v/>
      </c>
      <c r="E91" s="19">
        <f>'Inclusion Support'!V76</f>
        <v/>
      </c>
      <c r="F91" s="20">
        <f>SUM(B91:E91)</f>
        <v/>
      </c>
      <c r="G91" s="19">
        <f>'Inclusion Support'!Y19</f>
        <v/>
      </c>
      <c r="H91" s="19">
        <f>'Inclusion Support'!Y38</f>
        <v/>
      </c>
      <c r="I91" s="19">
        <f>'Inclusion Support'!Y57</f>
        <v/>
      </c>
      <c r="J91" s="19">
        <f>'Inclusion Support'!Y76</f>
        <v/>
      </c>
      <c r="K91" s="20">
        <f>SUM(G91:J91)</f>
        <v/>
      </c>
      <c r="L91" s="21">
        <f>IF(K91=0,"",F91/K91)</f>
        <v/>
      </c>
      <c r="M91" s="19">
        <f>'Inclusion Support'!W19+'Inclusion Support'!W38+'Inclusion Support'!W57+'Inclusion Support'!W76</f>
        <v/>
      </c>
      <c r="N91" s="19">
        <f>'Inclusion Support'!X19+'Inclusion Support'!X38+'Inclusion Support'!X57+'Inclusion Support'!X76</f>
        <v/>
      </c>
    </row>
  </sheetData>
  <mergeCells count="6">
    <mergeCell ref="A3:N3"/>
    <mergeCell ref="A39:N39"/>
    <mergeCell ref="A21:N21"/>
    <mergeCell ref="A57:N57"/>
    <mergeCell ref="A75:N75"/>
    <mergeCell ref="A1:N1"/>
  </mergeCells>
  <conditionalFormatting sqref="L5:L19">
    <cfRule type="cellIs" priority="1" operator="greaterThanOrEqual" dxfId="0">
      <formula>0.8</formula>
    </cfRule>
    <cfRule type="cellIs" priority="2" operator="between" dxfId="1">
      <formula>0.5</formula>
      <formula>0.7999</formula>
    </cfRule>
    <cfRule type="cellIs" priority="3" operator="lessThan" dxfId="2">
      <formula>0.5</formula>
    </cfRule>
  </conditionalFormatting>
  <conditionalFormatting sqref="L23:L37">
    <cfRule type="cellIs" priority="4" operator="greaterThanOrEqual" dxfId="0">
      <formula>0.8</formula>
    </cfRule>
    <cfRule type="cellIs" priority="5" operator="between" dxfId="1">
      <formula>0.5</formula>
      <formula>0.7999</formula>
    </cfRule>
    <cfRule type="cellIs" priority="6" operator="lessThan" dxfId="2">
      <formula>0.5</formula>
    </cfRule>
  </conditionalFormatting>
  <conditionalFormatting sqref="L41:L55">
    <cfRule type="cellIs" priority="7" operator="greaterThanOrEqual" dxfId="0">
      <formula>0.8</formula>
    </cfRule>
    <cfRule type="cellIs" priority="8" operator="between" dxfId="1">
      <formula>0.5</formula>
      <formula>0.7999</formula>
    </cfRule>
    <cfRule type="cellIs" priority="9" operator="lessThan" dxfId="2">
      <formula>0.5</formula>
    </cfRule>
  </conditionalFormatting>
  <conditionalFormatting sqref="L59:L73">
    <cfRule type="cellIs" priority="10" operator="greaterThanOrEqual" dxfId="0">
      <formula>0.8</formula>
    </cfRule>
    <cfRule type="cellIs" priority="11" operator="between" dxfId="1">
      <formula>0.5</formula>
      <formula>0.7999</formula>
    </cfRule>
    <cfRule type="cellIs" priority="12" operator="lessThan" dxfId="2">
      <formula>0.5</formula>
    </cfRule>
  </conditionalFormatting>
  <conditionalFormatting sqref="L77:L91">
    <cfRule type="cellIs" priority="13" operator="greaterThanOrEqual" dxfId="0">
      <formula>0.8</formula>
    </cfRule>
    <cfRule type="cellIs" priority="14" operator="between" dxfId="1">
      <formula>0.5</formula>
      <formula>0.7999</formula>
    </cfRule>
    <cfRule type="cellIs" priority="15" operator="lessThan" dxfId="2">
      <formula>0.5</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8B0000"/>
    <outlinePr summaryBelow="1" summaryRight="1"/>
    <pageSetUpPr fitToPage="1"/>
  </sheetPr>
  <dimension ref="A1:G119"/>
  <sheetViews>
    <sheetView workbookViewId="0">
      <selection activeCell="A1" sqref="A1"/>
    </sheetView>
  </sheetViews>
  <sheetFormatPr baseColWidth="8" defaultRowHeight="15"/>
  <cols>
    <col width="22" customWidth="1" min="1" max="1"/>
    <col width="18" customWidth="1" min="2" max="2"/>
    <col width="18" customWidth="1" min="3" max="3"/>
    <col width="14" customWidth="1" min="4" max="4"/>
    <col width="18" customWidth="1" min="5" max="5"/>
    <col width="14" customWidth="1" min="6" max="6"/>
    <col width="14" customWidth="1" min="7" max="7"/>
  </cols>
  <sheetData>
    <row r="1">
      <c r="A1" s="39" t="inlineStr">
        <is>
          <t>Raya Hightower</t>
        </is>
      </c>
    </row>
    <row r="2">
      <c r="A2" s="40" t="inlineStr">
        <is>
          <t>Service</t>
        </is>
      </c>
      <c r="B2" s="40" t="inlineStr">
        <is>
          <t>IEP Required</t>
        </is>
      </c>
      <c r="C2" s="40" t="inlineStr">
        <is>
          <t>Minutes Delivered</t>
        </is>
      </c>
      <c r="D2" s="40" t="inlineStr">
        <is>
          <t>% Complete</t>
        </is>
      </c>
      <c r="E2" s="40" t="inlineStr">
        <is>
          <t>Sessions Attended</t>
        </is>
      </c>
      <c r="F2" s="40" t="inlineStr">
        <is>
          <t>Absences</t>
        </is>
      </c>
      <c r="G2" s="40" t="inlineStr">
        <is>
          <t>Status</t>
        </is>
      </c>
    </row>
    <row r="3">
      <c r="A3" s="41" t="inlineStr">
        <is>
          <t>Social Skills</t>
        </is>
      </c>
      <c r="B3" s="19">
        <f>'Year Summary'!K5</f>
        <v/>
      </c>
      <c r="C3" s="19">
        <f>'Year Summary'!F5</f>
        <v/>
      </c>
      <c r="D3" s="21">
        <f>'Year Summary'!L5</f>
        <v/>
      </c>
      <c r="E3" s="19">
        <f>'Year Summary'!M5</f>
        <v/>
      </c>
      <c r="F3" s="19">
        <f>'Year Summary'!N5</f>
        <v/>
      </c>
      <c r="G3" s="8">
        <f>IF(D3="","",IF(D3&gt;=0.8,"On Track",IF(D3&gt;=0.5,"Behind","At Risk")))</f>
        <v/>
      </c>
    </row>
    <row r="4">
      <c r="A4" s="41" t="inlineStr">
        <is>
          <t>Speech</t>
        </is>
      </c>
      <c r="B4" s="19">
        <f>'Year Summary'!K23</f>
        <v/>
      </c>
      <c r="C4" s="19">
        <f>'Year Summary'!F23</f>
        <v/>
      </c>
      <c r="D4" s="21">
        <f>'Year Summary'!L23</f>
        <v/>
      </c>
      <c r="E4" s="19">
        <f>'Year Summary'!M23</f>
        <v/>
      </c>
      <c r="F4" s="19">
        <f>'Year Summary'!N23</f>
        <v/>
      </c>
      <c r="G4" s="8">
        <f>IF(D4="","",IF(D4&gt;=0.8,"On Track",IF(D4&gt;=0.5,"Behind","At Risk")))</f>
        <v/>
      </c>
    </row>
    <row r="5">
      <c r="A5" s="41" t="inlineStr">
        <is>
          <t>OT</t>
        </is>
      </c>
      <c r="B5" s="19">
        <f>'Year Summary'!K41</f>
        <v/>
      </c>
      <c r="C5" s="19">
        <f>'Year Summary'!F41</f>
        <v/>
      </c>
      <c r="D5" s="21">
        <f>'Year Summary'!L41</f>
        <v/>
      </c>
      <c r="E5" s="19">
        <f>'Year Summary'!M41</f>
        <v/>
      </c>
      <c r="F5" s="19">
        <f>'Year Summary'!N41</f>
        <v/>
      </c>
      <c r="G5" s="8">
        <f>IF(D5="","",IF(D5&gt;=0.8,"On Track",IF(D5&gt;=0.5,"Behind","At Risk")))</f>
        <v/>
      </c>
    </row>
    <row r="6">
      <c r="A6" s="41" t="inlineStr">
        <is>
          <t>Counseling</t>
        </is>
      </c>
      <c r="B6" s="19">
        <f>'Year Summary'!K59</f>
        <v/>
      </c>
      <c r="C6" s="19">
        <f>'Year Summary'!F59</f>
        <v/>
      </c>
      <c r="D6" s="21">
        <f>'Year Summary'!L59</f>
        <v/>
      </c>
      <c r="E6" s="19">
        <f>'Year Summary'!M59</f>
        <v/>
      </c>
      <c r="F6" s="19">
        <f>'Year Summary'!N59</f>
        <v/>
      </c>
      <c r="G6" s="8">
        <f>IF(D6="","",IF(D6&gt;=0.8,"On Track",IF(D6&gt;=0.5,"Behind","At Risk")))</f>
        <v/>
      </c>
    </row>
    <row r="7">
      <c r="A7" s="41" t="inlineStr">
        <is>
          <t>Inclusion Support</t>
        </is>
      </c>
      <c r="B7" s="19">
        <f>'Year Summary'!K77</f>
        <v/>
      </c>
      <c r="C7" s="19">
        <f>'Year Summary'!F77</f>
        <v/>
      </c>
      <c r="D7" s="21">
        <f>'Year Summary'!L77</f>
        <v/>
      </c>
      <c r="E7" s="19">
        <f>'Year Summary'!M77</f>
        <v/>
      </c>
      <c r="F7" s="19">
        <f>'Year Summary'!N77</f>
        <v/>
      </c>
      <c r="G7" s="8">
        <f>IF(D7="","",IF(D7&gt;=0.8,"On Track",IF(D7&gt;=0.5,"Behind","At Risk")))</f>
        <v/>
      </c>
    </row>
    <row r="9">
      <c r="A9" s="39" t="inlineStr">
        <is>
          <t>Anu Vijay Anand</t>
        </is>
      </c>
    </row>
    <row r="10">
      <c r="A10" s="40" t="inlineStr">
        <is>
          <t>Service</t>
        </is>
      </c>
      <c r="B10" s="40" t="inlineStr">
        <is>
          <t>IEP Required</t>
        </is>
      </c>
      <c r="C10" s="40" t="inlineStr">
        <is>
          <t>Minutes Delivered</t>
        </is>
      </c>
      <c r="D10" s="40" t="inlineStr">
        <is>
          <t>% Complete</t>
        </is>
      </c>
      <c r="E10" s="40" t="inlineStr">
        <is>
          <t>Sessions Attended</t>
        </is>
      </c>
      <c r="F10" s="40" t="inlineStr">
        <is>
          <t>Absences</t>
        </is>
      </c>
      <c r="G10" s="40" t="inlineStr">
        <is>
          <t>Status</t>
        </is>
      </c>
    </row>
    <row r="11">
      <c r="A11" s="41" t="inlineStr">
        <is>
          <t>Social Skills</t>
        </is>
      </c>
      <c r="B11" s="19">
        <f>'Year Summary'!K6</f>
        <v/>
      </c>
      <c r="C11" s="19">
        <f>'Year Summary'!F6</f>
        <v/>
      </c>
      <c r="D11" s="21">
        <f>'Year Summary'!L6</f>
        <v/>
      </c>
      <c r="E11" s="19">
        <f>'Year Summary'!M6</f>
        <v/>
      </c>
      <c r="F11" s="19">
        <f>'Year Summary'!N6</f>
        <v/>
      </c>
      <c r="G11" s="8">
        <f>IF(D11="","",IF(D11&gt;=0.8,"On Track",IF(D11&gt;=0.5,"Behind","At Risk")))</f>
        <v/>
      </c>
    </row>
    <row r="12">
      <c r="A12" s="41" t="inlineStr">
        <is>
          <t>Speech</t>
        </is>
      </c>
      <c r="B12" s="19">
        <f>'Year Summary'!K24</f>
        <v/>
      </c>
      <c r="C12" s="19">
        <f>'Year Summary'!F24</f>
        <v/>
      </c>
      <c r="D12" s="21">
        <f>'Year Summary'!L24</f>
        <v/>
      </c>
      <c r="E12" s="19">
        <f>'Year Summary'!M24</f>
        <v/>
      </c>
      <c r="F12" s="19">
        <f>'Year Summary'!N24</f>
        <v/>
      </c>
      <c r="G12" s="8">
        <f>IF(D12="","",IF(D12&gt;=0.8,"On Track",IF(D12&gt;=0.5,"Behind","At Risk")))</f>
        <v/>
      </c>
    </row>
    <row r="13">
      <c r="A13" s="41" t="inlineStr">
        <is>
          <t>OT</t>
        </is>
      </c>
      <c r="B13" s="19">
        <f>'Year Summary'!K42</f>
        <v/>
      </c>
      <c r="C13" s="19">
        <f>'Year Summary'!F42</f>
        <v/>
      </c>
      <c r="D13" s="21">
        <f>'Year Summary'!L42</f>
        <v/>
      </c>
      <c r="E13" s="19">
        <f>'Year Summary'!M42</f>
        <v/>
      </c>
      <c r="F13" s="19">
        <f>'Year Summary'!N42</f>
        <v/>
      </c>
      <c r="G13" s="8">
        <f>IF(D13="","",IF(D13&gt;=0.8,"On Track",IF(D13&gt;=0.5,"Behind","At Risk")))</f>
        <v/>
      </c>
    </row>
    <row r="14">
      <c r="A14" s="41" t="inlineStr">
        <is>
          <t>Counseling</t>
        </is>
      </c>
      <c r="B14" s="19">
        <f>'Year Summary'!K60</f>
        <v/>
      </c>
      <c r="C14" s="19">
        <f>'Year Summary'!F60</f>
        <v/>
      </c>
      <c r="D14" s="21">
        <f>'Year Summary'!L60</f>
        <v/>
      </c>
      <c r="E14" s="19">
        <f>'Year Summary'!M60</f>
        <v/>
      </c>
      <c r="F14" s="19">
        <f>'Year Summary'!N60</f>
        <v/>
      </c>
      <c r="G14" s="8">
        <f>IF(D14="","",IF(D14&gt;=0.8,"On Track",IF(D14&gt;=0.5,"Behind","At Risk")))</f>
        <v/>
      </c>
    </row>
    <row r="15">
      <c r="A15" s="41" t="inlineStr">
        <is>
          <t>Inclusion Support</t>
        </is>
      </c>
      <c r="B15" s="19">
        <f>'Year Summary'!K78</f>
        <v/>
      </c>
      <c r="C15" s="19">
        <f>'Year Summary'!F78</f>
        <v/>
      </c>
      <c r="D15" s="21">
        <f>'Year Summary'!L78</f>
        <v/>
      </c>
      <c r="E15" s="19">
        <f>'Year Summary'!M78</f>
        <v/>
      </c>
      <c r="F15" s="19">
        <f>'Year Summary'!N78</f>
        <v/>
      </c>
      <c r="G15" s="8">
        <f>IF(D15="","",IF(D15&gt;=0.8,"On Track",IF(D15&gt;=0.5,"Behind","At Risk")))</f>
        <v/>
      </c>
    </row>
    <row r="17">
      <c r="A17" s="39" t="inlineStr">
        <is>
          <t>Aadhya Gone</t>
        </is>
      </c>
    </row>
    <row r="18">
      <c r="A18" s="40" t="inlineStr">
        <is>
          <t>Service</t>
        </is>
      </c>
      <c r="B18" s="40" t="inlineStr">
        <is>
          <t>IEP Required</t>
        </is>
      </c>
      <c r="C18" s="40" t="inlineStr">
        <is>
          <t>Minutes Delivered</t>
        </is>
      </c>
      <c r="D18" s="40" t="inlineStr">
        <is>
          <t>% Complete</t>
        </is>
      </c>
      <c r="E18" s="40" t="inlineStr">
        <is>
          <t>Sessions Attended</t>
        </is>
      </c>
      <c r="F18" s="40" t="inlineStr">
        <is>
          <t>Absences</t>
        </is>
      </c>
      <c r="G18" s="40" t="inlineStr">
        <is>
          <t>Status</t>
        </is>
      </c>
    </row>
    <row r="19">
      <c r="A19" s="41" t="inlineStr">
        <is>
          <t>Social Skills</t>
        </is>
      </c>
      <c r="B19" s="19">
        <f>'Year Summary'!K7</f>
        <v/>
      </c>
      <c r="C19" s="19">
        <f>'Year Summary'!F7</f>
        <v/>
      </c>
      <c r="D19" s="21">
        <f>'Year Summary'!L7</f>
        <v/>
      </c>
      <c r="E19" s="19">
        <f>'Year Summary'!M7</f>
        <v/>
      </c>
      <c r="F19" s="19">
        <f>'Year Summary'!N7</f>
        <v/>
      </c>
      <c r="G19" s="8">
        <f>IF(D19="","",IF(D19&gt;=0.8,"On Track",IF(D19&gt;=0.5,"Behind","At Risk")))</f>
        <v/>
      </c>
    </row>
    <row r="20">
      <c r="A20" s="41" t="inlineStr">
        <is>
          <t>Speech</t>
        </is>
      </c>
      <c r="B20" s="19">
        <f>'Year Summary'!K25</f>
        <v/>
      </c>
      <c r="C20" s="19">
        <f>'Year Summary'!F25</f>
        <v/>
      </c>
      <c r="D20" s="21">
        <f>'Year Summary'!L25</f>
        <v/>
      </c>
      <c r="E20" s="19">
        <f>'Year Summary'!M25</f>
        <v/>
      </c>
      <c r="F20" s="19">
        <f>'Year Summary'!N25</f>
        <v/>
      </c>
      <c r="G20" s="8">
        <f>IF(D20="","",IF(D20&gt;=0.8,"On Track",IF(D20&gt;=0.5,"Behind","At Risk")))</f>
        <v/>
      </c>
    </row>
    <row r="21">
      <c r="A21" s="41" t="inlineStr">
        <is>
          <t>OT</t>
        </is>
      </c>
      <c r="B21" s="19">
        <f>'Year Summary'!K43</f>
        <v/>
      </c>
      <c r="C21" s="19">
        <f>'Year Summary'!F43</f>
        <v/>
      </c>
      <c r="D21" s="21">
        <f>'Year Summary'!L43</f>
        <v/>
      </c>
      <c r="E21" s="19">
        <f>'Year Summary'!M43</f>
        <v/>
      </c>
      <c r="F21" s="19">
        <f>'Year Summary'!N43</f>
        <v/>
      </c>
      <c r="G21" s="8">
        <f>IF(D21="","",IF(D21&gt;=0.8,"On Track",IF(D21&gt;=0.5,"Behind","At Risk")))</f>
        <v/>
      </c>
    </row>
    <row r="22">
      <c r="A22" s="41" t="inlineStr">
        <is>
          <t>Counseling</t>
        </is>
      </c>
      <c r="B22" s="19">
        <f>'Year Summary'!K61</f>
        <v/>
      </c>
      <c r="C22" s="19">
        <f>'Year Summary'!F61</f>
        <v/>
      </c>
      <c r="D22" s="21">
        <f>'Year Summary'!L61</f>
        <v/>
      </c>
      <c r="E22" s="19">
        <f>'Year Summary'!M61</f>
        <v/>
      </c>
      <c r="F22" s="19">
        <f>'Year Summary'!N61</f>
        <v/>
      </c>
      <c r="G22" s="8">
        <f>IF(D22="","",IF(D22&gt;=0.8,"On Track",IF(D22&gt;=0.5,"Behind","At Risk")))</f>
        <v/>
      </c>
    </row>
    <row r="23">
      <c r="A23" s="41" t="inlineStr">
        <is>
          <t>Inclusion Support</t>
        </is>
      </c>
      <c r="B23" s="19">
        <f>'Year Summary'!K79</f>
        <v/>
      </c>
      <c r="C23" s="19">
        <f>'Year Summary'!F79</f>
        <v/>
      </c>
      <c r="D23" s="21">
        <f>'Year Summary'!L79</f>
        <v/>
      </c>
      <c r="E23" s="19">
        <f>'Year Summary'!M79</f>
        <v/>
      </c>
      <c r="F23" s="19">
        <f>'Year Summary'!N79</f>
        <v/>
      </c>
      <c r="G23" s="8">
        <f>IF(D23="","",IF(D23&gt;=0.8,"On Track",IF(D23&gt;=0.5,"Behind","At Risk")))</f>
        <v/>
      </c>
    </row>
    <row r="25">
      <c r="A25" s="39" t="inlineStr">
        <is>
          <t>Sumeyah Khan</t>
        </is>
      </c>
    </row>
    <row r="26">
      <c r="A26" s="40" t="inlineStr">
        <is>
          <t>Service</t>
        </is>
      </c>
      <c r="B26" s="40" t="inlineStr">
        <is>
          <t>IEP Required</t>
        </is>
      </c>
      <c r="C26" s="40" t="inlineStr">
        <is>
          <t>Minutes Delivered</t>
        </is>
      </c>
      <c r="D26" s="40" t="inlineStr">
        <is>
          <t>% Complete</t>
        </is>
      </c>
      <c r="E26" s="40" t="inlineStr">
        <is>
          <t>Sessions Attended</t>
        </is>
      </c>
      <c r="F26" s="40" t="inlineStr">
        <is>
          <t>Absences</t>
        </is>
      </c>
      <c r="G26" s="40" t="inlineStr">
        <is>
          <t>Status</t>
        </is>
      </c>
    </row>
    <row r="27">
      <c r="A27" s="41" t="inlineStr">
        <is>
          <t>Social Skills</t>
        </is>
      </c>
      <c r="B27" s="19">
        <f>'Year Summary'!K8</f>
        <v/>
      </c>
      <c r="C27" s="19">
        <f>'Year Summary'!F8</f>
        <v/>
      </c>
      <c r="D27" s="21">
        <f>'Year Summary'!L8</f>
        <v/>
      </c>
      <c r="E27" s="19">
        <f>'Year Summary'!M8</f>
        <v/>
      </c>
      <c r="F27" s="19">
        <f>'Year Summary'!N8</f>
        <v/>
      </c>
      <c r="G27" s="8">
        <f>IF(D27="","",IF(D27&gt;=0.8,"On Track",IF(D27&gt;=0.5,"Behind","At Risk")))</f>
        <v/>
      </c>
    </row>
    <row r="28">
      <c r="A28" s="41" t="inlineStr">
        <is>
          <t>Speech</t>
        </is>
      </c>
      <c r="B28" s="19">
        <f>'Year Summary'!K26</f>
        <v/>
      </c>
      <c r="C28" s="19">
        <f>'Year Summary'!F26</f>
        <v/>
      </c>
      <c r="D28" s="21">
        <f>'Year Summary'!L26</f>
        <v/>
      </c>
      <c r="E28" s="19">
        <f>'Year Summary'!M26</f>
        <v/>
      </c>
      <c r="F28" s="19">
        <f>'Year Summary'!N26</f>
        <v/>
      </c>
      <c r="G28" s="8">
        <f>IF(D28="","",IF(D28&gt;=0.8,"On Track",IF(D28&gt;=0.5,"Behind","At Risk")))</f>
        <v/>
      </c>
    </row>
    <row r="29">
      <c r="A29" s="41" t="inlineStr">
        <is>
          <t>OT</t>
        </is>
      </c>
      <c r="B29" s="19">
        <f>'Year Summary'!K44</f>
        <v/>
      </c>
      <c r="C29" s="19">
        <f>'Year Summary'!F44</f>
        <v/>
      </c>
      <c r="D29" s="21">
        <f>'Year Summary'!L44</f>
        <v/>
      </c>
      <c r="E29" s="19">
        <f>'Year Summary'!M44</f>
        <v/>
      </c>
      <c r="F29" s="19">
        <f>'Year Summary'!N44</f>
        <v/>
      </c>
      <c r="G29" s="8">
        <f>IF(D29="","",IF(D29&gt;=0.8,"On Track",IF(D29&gt;=0.5,"Behind","At Risk")))</f>
        <v/>
      </c>
    </row>
    <row r="30">
      <c r="A30" s="41" t="inlineStr">
        <is>
          <t>Counseling</t>
        </is>
      </c>
      <c r="B30" s="19">
        <f>'Year Summary'!K62</f>
        <v/>
      </c>
      <c r="C30" s="19">
        <f>'Year Summary'!F62</f>
        <v/>
      </c>
      <c r="D30" s="21">
        <f>'Year Summary'!L62</f>
        <v/>
      </c>
      <c r="E30" s="19">
        <f>'Year Summary'!M62</f>
        <v/>
      </c>
      <c r="F30" s="19">
        <f>'Year Summary'!N62</f>
        <v/>
      </c>
      <c r="G30" s="8">
        <f>IF(D30="","",IF(D30&gt;=0.8,"On Track",IF(D30&gt;=0.5,"Behind","At Risk")))</f>
        <v/>
      </c>
    </row>
    <row r="31">
      <c r="A31" s="41" t="inlineStr">
        <is>
          <t>Inclusion Support</t>
        </is>
      </c>
      <c r="B31" s="19">
        <f>'Year Summary'!K80</f>
        <v/>
      </c>
      <c r="C31" s="19">
        <f>'Year Summary'!F80</f>
        <v/>
      </c>
      <c r="D31" s="21">
        <f>'Year Summary'!L80</f>
        <v/>
      </c>
      <c r="E31" s="19">
        <f>'Year Summary'!M80</f>
        <v/>
      </c>
      <c r="F31" s="19">
        <f>'Year Summary'!N80</f>
        <v/>
      </c>
      <c r="G31" s="8">
        <f>IF(D31="","",IF(D31&gt;=0.8,"On Track",IF(D31&gt;=0.5,"Behind","At Risk")))</f>
        <v/>
      </c>
    </row>
    <row r="33">
      <c r="A33" s="39" t="inlineStr">
        <is>
          <t>Maria Mujeeb</t>
        </is>
      </c>
    </row>
    <row r="34">
      <c r="A34" s="40" t="inlineStr">
        <is>
          <t>Service</t>
        </is>
      </c>
      <c r="B34" s="40" t="inlineStr">
        <is>
          <t>IEP Required</t>
        </is>
      </c>
      <c r="C34" s="40" t="inlineStr">
        <is>
          <t>Minutes Delivered</t>
        </is>
      </c>
      <c r="D34" s="40" t="inlineStr">
        <is>
          <t>% Complete</t>
        </is>
      </c>
      <c r="E34" s="40" t="inlineStr">
        <is>
          <t>Sessions Attended</t>
        </is>
      </c>
      <c r="F34" s="40" t="inlineStr">
        <is>
          <t>Absences</t>
        </is>
      </c>
      <c r="G34" s="40" t="inlineStr">
        <is>
          <t>Status</t>
        </is>
      </c>
    </row>
    <row r="35">
      <c r="A35" s="41" t="inlineStr">
        <is>
          <t>Social Skills</t>
        </is>
      </c>
      <c r="B35" s="19">
        <f>'Year Summary'!K9</f>
        <v/>
      </c>
      <c r="C35" s="19">
        <f>'Year Summary'!F9</f>
        <v/>
      </c>
      <c r="D35" s="21">
        <f>'Year Summary'!L9</f>
        <v/>
      </c>
      <c r="E35" s="19">
        <f>'Year Summary'!M9</f>
        <v/>
      </c>
      <c r="F35" s="19">
        <f>'Year Summary'!N9</f>
        <v/>
      </c>
      <c r="G35" s="8">
        <f>IF(D35="","",IF(D35&gt;=0.8,"On Track",IF(D35&gt;=0.5,"Behind","At Risk")))</f>
        <v/>
      </c>
    </row>
    <row r="36">
      <c r="A36" s="41" t="inlineStr">
        <is>
          <t>Speech</t>
        </is>
      </c>
      <c r="B36" s="19">
        <f>'Year Summary'!K27</f>
        <v/>
      </c>
      <c r="C36" s="19">
        <f>'Year Summary'!F27</f>
        <v/>
      </c>
      <c r="D36" s="21">
        <f>'Year Summary'!L27</f>
        <v/>
      </c>
      <c r="E36" s="19">
        <f>'Year Summary'!M27</f>
        <v/>
      </c>
      <c r="F36" s="19">
        <f>'Year Summary'!N27</f>
        <v/>
      </c>
      <c r="G36" s="8">
        <f>IF(D36="","",IF(D36&gt;=0.8,"On Track",IF(D36&gt;=0.5,"Behind","At Risk")))</f>
        <v/>
      </c>
    </row>
    <row r="37">
      <c r="A37" s="41" t="inlineStr">
        <is>
          <t>OT</t>
        </is>
      </c>
      <c r="B37" s="19">
        <f>'Year Summary'!K45</f>
        <v/>
      </c>
      <c r="C37" s="19">
        <f>'Year Summary'!F45</f>
        <v/>
      </c>
      <c r="D37" s="21">
        <f>'Year Summary'!L45</f>
        <v/>
      </c>
      <c r="E37" s="19">
        <f>'Year Summary'!M45</f>
        <v/>
      </c>
      <c r="F37" s="19">
        <f>'Year Summary'!N45</f>
        <v/>
      </c>
      <c r="G37" s="8">
        <f>IF(D37="","",IF(D37&gt;=0.8,"On Track",IF(D37&gt;=0.5,"Behind","At Risk")))</f>
        <v/>
      </c>
    </row>
    <row r="38">
      <c r="A38" s="41" t="inlineStr">
        <is>
          <t>Counseling</t>
        </is>
      </c>
      <c r="B38" s="19">
        <f>'Year Summary'!K63</f>
        <v/>
      </c>
      <c r="C38" s="19">
        <f>'Year Summary'!F63</f>
        <v/>
      </c>
      <c r="D38" s="21">
        <f>'Year Summary'!L63</f>
        <v/>
      </c>
      <c r="E38" s="19">
        <f>'Year Summary'!M63</f>
        <v/>
      </c>
      <c r="F38" s="19">
        <f>'Year Summary'!N63</f>
        <v/>
      </c>
      <c r="G38" s="8">
        <f>IF(D38="","",IF(D38&gt;=0.8,"On Track",IF(D38&gt;=0.5,"Behind","At Risk")))</f>
        <v/>
      </c>
    </row>
    <row r="39">
      <c r="A39" s="41" t="inlineStr">
        <is>
          <t>Inclusion Support</t>
        </is>
      </c>
      <c r="B39" s="19">
        <f>'Year Summary'!K81</f>
        <v/>
      </c>
      <c r="C39" s="19">
        <f>'Year Summary'!F81</f>
        <v/>
      </c>
      <c r="D39" s="21">
        <f>'Year Summary'!L81</f>
        <v/>
      </c>
      <c r="E39" s="19">
        <f>'Year Summary'!M81</f>
        <v/>
      </c>
      <c r="F39" s="19">
        <f>'Year Summary'!N81</f>
        <v/>
      </c>
      <c r="G39" s="8">
        <f>IF(D39="","",IF(D39&gt;=0.8,"On Track",IF(D39&gt;=0.5,"Behind","At Risk")))</f>
        <v/>
      </c>
    </row>
    <row r="41">
      <c r="A41" s="39" t="inlineStr">
        <is>
          <t>Jace Ratliff</t>
        </is>
      </c>
    </row>
    <row r="42">
      <c r="A42" s="40" t="inlineStr">
        <is>
          <t>Service</t>
        </is>
      </c>
      <c r="B42" s="40" t="inlineStr">
        <is>
          <t>IEP Required</t>
        </is>
      </c>
      <c r="C42" s="40" t="inlineStr">
        <is>
          <t>Minutes Delivered</t>
        </is>
      </c>
      <c r="D42" s="40" t="inlineStr">
        <is>
          <t>% Complete</t>
        </is>
      </c>
      <c r="E42" s="40" t="inlineStr">
        <is>
          <t>Sessions Attended</t>
        </is>
      </c>
      <c r="F42" s="40" t="inlineStr">
        <is>
          <t>Absences</t>
        </is>
      </c>
      <c r="G42" s="40" t="inlineStr">
        <is>
          <t>Status</t>
        </is>
      </c>
    </row>
    <row r="43">
      <c r="A43" s="41" t="inlineStr">
        <is>
          <t>Social Skills</t>
        </is>
      </c>
      <c r="B43" s="19">
        <f>'Year Summary'!K10</f>
        <v/>
      </c>
      <c r="C43" s="19">
        <f>'Year Summary'!F10</f>
        <v/>
      </c>
      <c r="D43" s="21">
        <f>'Year Summary'!L10</f>
        <v/>
      </c>
      <c r="E43" s="19">
        <f>'Year Summary'!M10</f>
        <v/>
      </c>
      <c r="F43" s="19">
        <f>'Year Summary'!N10</f>
        <v/>
      </c>
      <c r="G43" s="8">
        <f>IF(D43="","",IF(D43&gt;=0.8,"On Track",IF(D43&gt;=0.5,"Behind","At Risk")))</f>
        <v/>
      </c>
    </row>
    <row r="44">
      <c r="A44" s="41" t="inlineStr">
        <is>
          <t>Speech</t>
        </is>
      </c>
      <c r="B44" s="19">
        <f>'Year Summary'!K28</f>
        <v/>
      </c>
      <c r="C44" s="19">
        <f>'Year Summary'!F28</f>
        <v/>
      </c>
      <c r="D44" s="21">
        <f>'Year Summary'!L28</f>
        <v/>
      </c>
      <c r="E44" s="19">
        <f>'Year Summary'!M28</f>
        <v/>
      </c>
      <c r="F44" s="19">
        <f>'Year Summary'!N28</f>
        <v/>
      </c>
      <c r="G44" s="8">
        <f>IF(D44="","",IF(D44&gt;=0.8,"On Track",IF(D44&gt;=0.5,"Behind","At Risk")))</f>
        <v/>
      </c>
    </row>
    <row r="45">
      <c r="A45" s="41" t="inlineStr">
        <is>
          <t>OT</t>
        </is>
      </c>
      <c r="B45" s="19">
        <f>'Year Summary'!K46</f>
        <v/>
      </c>
      <c r="C45" s="19">
        <f>'Year Summary'!F46</f>
        <v/>
      </c>
      <c r="D45" s="21">
        <f>'Year Summary'!L46</f>
        <v/>
      </c>
      <c r="E45" s="19">
        <f>'Year Summary'!M46</f>
        <v/>
      </c>
      <c r="F45" s="19">
        <f>'Year Summary'!N46</f>
        <v/>
      </c>
      <c r="G45" s="8">
        <f>IF(D45="","",IF(D45&gt;=0.8,"On Track",IF(D45&gt;=0.5,"Behind","At Risk")))</f>
        <v/>
      </c>
    </row>
    <row r="46">
      <c r="A46" s="41" t="inlineStr">
        <is>
          <t>Counseling</t>
        </is>
      </c>
      <c r="B46" s="19">
        <f>'Year Summary'!K64</f>
        <v/>
      </c>
      <c r="C46" s="19">
        <f>'Year Summary'!F64</f>
        <v/>
      </c>
      <c r="D46" s="21">
        <f>'Year Summary'!L64</f>
        <v/>
      </c>
      <c r="E46" s="19">
        <f>'Year Summary'!M64</f>
        <v/>
      </c>
      <c r="F46" s="19">
        <f>'Year Summary'!N64</f>
        <v/>
      </c>
      <c r="G46" s="8">
        <f>IF(D46="","",IF(D46&gt;=0.8,"On Track",IF(D46&gt;=0.5,"Behind","At Risk")))</f>
        <v/>
      </c>
    </row>
    <row r="47">
      <c r="A47" s="41" t="inlineStr">
        <is>
          <t>Inclusion Support</t>
        </is>
      </c>
      <c r="B47" s="19">
        <f>'Year Summary'!K82</f>
        <v/>
      </c>
      <c r="C47" s="19">
        <f>'Year Summary'!F82</f>
        <v/>
      </c>
      <c r="D47" s="21">
        <f>'Year Summary'!L82</f>
        <v/>
      </c>
      <c r="E47" s="19">
        <f>'Year Summary'!M82</f>
        <v/>
      </c>
      <c r="F47" s="19">
        <f>'Year Summary'!N82</f>
        <v/>
      </c>
      <c r="G47" s="8">
        <f>IF(D47="","",IF(D47&gt;=0.8,"On Track",IF(D47&gt;=0.5,"Behind","At Risk")))</f>
        <v/>
      </c>
    </row>
    <row r="49">
      <c r="A49" s="39" t="inlineStr">
        <is>
          <t>Evan Allen</t>
        </is>
      </c>
    </row>
    <row r="50">
      <c r="A50" s="40" t="inlineStr">
        <is>
          <t>Service</t>
        </is>
      </c>
      <c r="B50" s="40" t="inlineStr">
        <is>
          <t>IEP Required</t>
        </is>
      </c>
      <c r="C50" s="40" t="inlineStr">
        <is>
          <t>Minutes Delivered</t>
        </is>
      </c>
      <c r="D50" s="40" t="inlineStr">
        <is>
          <t>% Complete</t>
        </is>
      </c>
      <c r="E50" s="40" t="inlineStr">
        <is>
          <t>Sessions Attended</t>
        </is>
      </c>
      <c r="F50" s="40" t="inlineStr">
        <is>
          <t>Absences</t>
        </is>
      </c>
      <c r="G50" s="40" t="inlineStr">
        <is>
          <t>Status</t>
        </is>
      </c>
    </row>
    <row r="51">
      <c r="A51" s="41" t="inlineStr">
        <is>
          <t>Social Skills</t>
        </is>
      </c>
      <c r="B51" s="19">
        <f>'Year Summary'!K11</f>
        <v/>
      </c>
      <c r="C51" s="19">
        <f>'Year Summary'!F11</f>
        <v/>
      </c>
      <c r="D51" s="21">
        <f>'Year Summary'!L11</f>
        <v/>
      </c>
      <c r="E51" s="19">
        <f>'Year Summary'!M11</f>
        <v/>
      </c>
      <c r="F51" s="19">
        <f>'Year Summary'!N11</f>
        <v/>
      </c>
      <c r="G51" s="8">
        <f>IF(D51="","",IF(D51&gt;=0.8,"On Track",IF(D51&gt;=0.5,"Behind","At Risk")))</f>
        <v/>
      </c>
    </row>
    <row r="52">
      <c r="A52" s="41" t="inlineStr">
        <is>
          <t>Speech</t>
        </is>
      </c>
      <c r="B52" s="19">
        <f>'Year Summary'!K29</f>
        <v/>
      </c>
      <c r="C52" s="19">
        <f>'Year Summary'!F29</f>
        <v/>
      </c>
      <c r="D52" s="21">
        <f>'Year Summary'!L29</f>
        <v/>
      </c>
      <c r="E52" s="19">
        <f>'Year Summary'!M29</f>
        <v/>
      </c>
      <c r="F52" s="19">
        <f>'Year Summary'!N29</f>
        <v/>
      </c>
      <c r="G52" s="8">
        <f>IF(D52="","",IF(D52&gt;=0.8,"On Track",IF(D52&gt;=0.5,"Behind","At Risk")))</f>
        <v/>
      </c>
    </row>
    <row r="53">
      <c r="A53" s="41" t="inlineStr">
        <is>
          <t>OT</t>
        </is>
      </c>
      <c r="B53" s="19">
        <f>'Year Summary'!K47</f>
        <v/>
      </c>
      <c r="C53" s="19">
        <f>'Year Summary'!F47</f>
        <v/>
      </c>
      <c r="D53" s="21">
        <f>'Year Summary'!L47</f>
        <v/>
      </c>
      <c r="E53" s="19">
        <f>'Year Summary'!M47</f>
        <v/>
      </c>
      <c r="F53" s="19">
        <f>'Year Summary'!N47</f>
        <v/>
      </c>
      <c r="G53" s="8">
        <f>IF(D53="","",IF(D53&gt;=0.8,"On Track",IF(D53&gt;=0.5,"Behind","At Risk")))</f>
        <v/>
      </c>
    </row>
    <row r="54">
      <c r="A54" s="41" t="inlineStr">
        <is>
          <t>Counseling</t>
        </is>
      </c>
      <c r="B54" s="19">
        <f>'Year Summary'!K65</f>
        <v/>
      </c>
      <c r="C54" s="19">
        <f>'Year Summary'!F65</f>
        <v/>
      </c>
      <c r="D54" s="21">
        <f>'Year Summary'!L65</f>
        <v/>
      </c>
      <c r="E54" s="19">
        <f>'Year Summary'!M65</f>
        <v/>
      </c>
      <c r="F54" s="19">
        <f>'Year Summary'!N65</f>
        <v/>
      </c>
      <c r="G54" s="8">
        <f>IF(D54="","",IF(D54&gt;=0.8,"On Track",IF(D54&gt;=0.5,"Behind","At Risk")))</f>
        <v/>
      </c>
    </row>
    <row r="55">
      <c r="A55" s="41" t="inlineStr">
        <is>
          <t>Inclusion Support</t>
        </is>
      </c>
      <c r="B55" s="19">
        <f>'Year Summary'!K83</f>
        <v/>
      </c>
      <c r="C55" s="19">
        <f>'Year Summary'!F83</f>
        <v/>
      </c>
      <c r="D55" s="21">
        <f>'Year Summary'!L83</f>
        <v/>
      </c>
      <c r="E55" s="19">
        <f>'Year Summary'!M83</f>
        <v/>
      </c>
      <c r="F55" s="19">
        <f>'Year Summary'!N83</f>
        <v/>
      </c>
      <c r="G55" s="8">
        <f>IF(D55="","",IF(D55&gt;=0.8,"On Track",IF(D55&gt;=0.5,"Behind","At Risk")))</f>
        <v/>
      </c>
    </row>
    <row r="57">
      <c r="A57" s="39" t="inlineStr">
        <is>
          <t>Sai Neelagiri</t>
        </is>
      </c>
    </row>
    <row r="58">
      <c r="A58" s="40" t="inlineStr">
        <is>
          <t>Service</t>
        </is>
      </c>
      <c r="B58" s="40" t="inlineStr">
        <is>
          <t>IEP Required</t>
        </is>
      </c>
      <c r="C58" s="40" t="inlineStr">
        <is>
          <t>Minutes Delivered</t>
        </is>
      </c>
      <c r="D58" s="40" t="inlineStr">
        <is>
          <t>% Complete</t>
        </is>
      </c>
      <c r="E58" s="40" t="inlineStr">
        <is>
          <t>Sessions Attended</t>
        </is>
      </c>
      <c r="F58" s="40" t="inlineStr">
        <is>
          <t>Absences</t>
        </is>
      </c>
      <c r="G58" s="40" t="inlineStr">
        <is>
          <t>Status</t>
        </is>
      </c>
    </row>
    <row r="59">
      <c r="A59" s="41" t="inlineStr">
        <is>
          <t>Social Skills</t>
        </is>
      </c>
      <c r="B59" s="19">
        <f>'Year Summary'!K12</f>
        <v/>
      </c>
      <c r="C59" s="19">
        <f>'Year Summary'!F12</f>
        <v/>
      </c>
      <c r="D59" s="21">
        <f>'Year Summary'!L12</f>
        <v/>
      </c>
      <c r="E59" s="19">
        <f>'Year Summary'!M12</f>
        <v/>
      </c>
      <c r="F59" s="19">
        <f>'Year Summary'!N12</f>
        <v/>
      </c>
      <c r="G59" s="8">
        <f>IF(D59="","",IF(D59&gt;=0.8,"On Track",IF(D59&gt;=0.5,"Behind","At Risk")))</f>
        <v/>
      </c>
    </row>
    <row r="60">
      <c r="A60" s="41" t="inlineStr">
        <is>
          <t>Speech</t>
        </is>
      </c>
      <c r="B60" s="19">
        <f>'Year Summary'!K30</f>
        <v/>
      </c>
      <c r="C60" s="19">
        <f>'Year Summary'!F30</f>
        <v/>
      </c>
      <c r="D60" s="21">
        <f>'Year Summary'!L30</f>
        <v/>
      </c>
      <c r="E60" s="19">
        <f>'Year Summary'!M30</f>
        <v/>
      </c>
      <c r="F60" s="19">
        <f>'Year Summary'!N30</f>
        <v/>
      </c>
      <c r="G60" s="8">
        <f>IF(D60="","",IF(D60&gt;=0.8,"On Track",IF(D60&gt;=0.5,"Behind","At Risk")))</f>
        <v/>
      </c>
    </row>
    <row r="61">
      <c r="A61" s="41" t="inlineStr">
        <is>
          <t>OT</t>
        </is>
      </c>
      <c r="B61" s="19">
        <f>'Year Summary'!K48</f>
        <v/>
      </c>
      <c r="C61" s="19">
        <f>'Year Summary'!F48</f>
        <v/>
      </c>
      <c r="D61" s="21">
        <f>'Year Summary'!L48</f>
        <v/>
      </c>
      <c r="E61" s="19">
        <f>'Year Summary'!M48</f>
        <v/>
      </c>
      <c r="F61" s="19">
        <f>'Year Summary'!N48</f>
        <v/>
      </c>
      <c r="G61" s="8">
        <f>IF(D61="","",IF(D61&gt;=0.8,"On Track",IF(D61&gt;=0.5,"Behind","At Risk")))</f>
        <v/>
      </c>
    </row>
    <row r="62">
      <c r="A62" s="41" t="inlineStr">
        <is>
          <t>Counseling</t>
        </is>
      </c>
      <c r="B62" s="19">
        <f>'Year Summary'!K66</f>
        <v/>
      </c>
      <c r="C62" s="19">
        <f>'Year Summary'!F66</f>
        <v/>
      </c>
      <c r="D62" s="21">
        <f>'Year Summary'!L66</f>
        <v/>
      </c>
      <c r="E62" s="19">
        <f>'Year Summary'!M66</f>
        <v/>
      </c>
      <c r="F62" s="19">
        <f>'Year Summary'!N66</f>
        <v/>
      </c>
      <c r="G62" s="8">
        <f>IF(D62="","",IF(D62&gt;=0.8,"On Track",IF(D62&gt;=0.5,"Behind","At Risk")))</f>
        <v/>
      </c>
    </row>
    <row r="63">
      <c r="A63" s="41" t="inlineStr">
        <is>
          <t>Inclusion Support</t>
        </is>
      </c>
      <c r="B63" s="19">
        <f>'Year Summary'!K84</f>
        <v/>
      </c>
      <c r="C63" s="19">
        <f>'Year Summary'!F84</f>
        <v/>
      </c>
      <c r="D63" s="21">
        <f>'Year Summary'!L84</f>
        <v/>
      </c>
      <c r="E63" s="19">
        <f>'Year Summary'!M84</f>
        <v/>
      </c>
      <c r="F63" s="19">
        <f>'Year Summary'!N84</f>
        <v/>
      </c>
      <c r="G63" s="8">
        <f>IF(D63="","",IF(D63&gt;=0.8,"On Track",IF(D63&gt;=0.5,"Behind","At Risk")))</f>
        <v/>
      </c>
    </row>
    <row r="65">
      <c r="A65" s="39" t="inlineStr">
        <is>
          <t>Fletcher Meese</t>
        </is>
      </c>
    </row>
    <row r="66">
      <c r="A66" s="40" t="inlineStr">
        <is>
          <t>Service</t>
        </is>
      </c>
      <c r="B66" s="40" t="inlineStr">
        <is>
          <t>IEP Required</t>
        </is>
      </c>
      <c r="C66" s="40" t="inlineStr">
        <is>
          <t>Minutes Delivered</t>
        </is>
      </c>
      <c r="D66" s="40" t="inlineStr">
        <is>
          <t>% Complete</t>
        </is>
      </c>
      <c r="E66" s="40" t="inlineStr">
        <is>
          <t>Sessions Attended</t>
        </is>
      </c>
      <c r="F66" s="40" t="inlineStr">
        <is>
          <t>Absences</t>
        </is>
      </c>
      <c r="G66" s="40" t="inlineStr">
        <is>
          <t>Status</t>
        </is>
      </c>
    </row>
    <row r="67">
      <c r="A67" s="41" t="inlineStr">
        <is>
          <t>Social Skills</t>
        </is>
      </c>
      <c r="B67" s="19">
        <f>'Year Summary'!K13</f>
        <v/>
      </c>
      <c r="C67" s="19">
        <f>'Year Summary'!F13</f>
        <v/>
      </c>
      <c r="D67" s="21">
        <f>'Year Summary'!L13</f>
        <v/>
      </c>
      <c r="E67" s="19">
        <f>'Year Summary'!M13</f>
        <v/>
      </c>
      <c r="F67" s="19">
        <f>'Year Summary'!N13</f>
        <v/>
      </c>
      <c r="G67" s="8">
        <f>IF(D67="","",IF(D67&gt;=0.8,"On Track",IF(D67&gt;=0.5,"Behind","At Risk")))</f>
        <v/>
      </c>
    </row>
    <row r="68">
      <c r="A68" s="41" t="inlineStr">
        <is>
          <t>Speech</t>
        </is>
      </c>
      <c r="B68" s="19">
        <f>'Year Summary'!K31</f>
        <v/>
      </c>
      <c r="C68" s="19">
        <f>'Year Summary'!F31</f>
        <v/>
      </c>
      <c r="D68" s="21">
        <f>'Year Summary'!L31</f>
        <v/>
      </c>
      <c r="E68" s="19">
        <f>'Year Summary'!M31</f>
        <v/>
      </c>
      <c r="F68" s="19">
        <f>'Year Summary'!N31</f>
        <v/>
      </c>
      <c r="G68" s="8">
        <f>IF(D68="","",IF(D68&gt;=0.8,"On Track",IF(D68&gt;=0.5,"Behind","At Risk")))</f>
        <v/>
      </c>
    </row>
    <row r="69">
      <c r="A69" s="41" t="inlineStr">
        <is>
          <t>OT</t>
        </is>
      </c>
      <c r="B69" s="19">
        <f>'Year Summary'!K49</f>
        <v/>
      </c>
      <c r="C69" s="19">
        <f>'Year Summary'!F49</f>
        <v/>
      </c>
      <c r="D69" s="21">
        <f>'Year Summary'!L49</f>
        <v/>
      </c>
      <c r="E69" s="19">
        <f>'Year Summary'!M49</f>
        <v/>
      </c>
      <c r="F69" s="19">
        <f>'Year Summary'!N49</f>
        <v/>
      </c>
      <c r="G69" s="8">
        <f>IF(D69="","",IF(D69&gt;=0.8,"On Track",IF(D69&gt;=0.5,"Behind","At Risk")))</f>
        <v/>
      </c>
    </row>
    <row r="70">
      <c r="A70" s="41" t="inlineStr">
        <is>
          <t>Counseling</t>
        </is>
      </c>
      <c r="B70" s="19">
        <f>'Year Summary'!K67</f>
        <v/>
      </c>
      <c r="C70" s="19">
        <f>'Year Summary'!F67</f>
        <v/>
      </c>
      <c r="D70" s="21">
        <f>'Year Summary'!L67</f>
        <v/>
      </c>
      <c r="E70" s="19">
        <f>'Year Summary'!M67</f>
        <v/>
      </c>
      <c r="F70" s="19">
        <f>'Year Summary'!N67</f>
        <v/>
      </c>
      <c r="G70" s="8">
        <f>IF(D70="","",IF(D70&gt;=0.8,"On Track",IF(D70&gt;=0.5,"Behind","At Risk")))</f>
        <v/>
      </c>
    </row>
    <row r="71">
      <c r="A71" s="41" t="inlineStr">
        <is>
          <t>Inclusion Support</t>
        </is>
      </c>
      <c r="B71" s="19">
        <f>'Year Summary'!K85</f>
        <v/>
      </c>
      <c r="C71" s="19">
        <f>'Year Summary'!F85</f>
        <v/>
      </c>
      <c r="D71" s="21">
        <f>'Year Summary'!L85</f>
        <v/>
      </c>
      <c r="E71" s="19">
        <f>'Year Summary'!M85</f>
        <v/>
      </c>
      <c r="F71" s="19">
        <f>'Year Summary'!N85</f>
        <v/>
      </c>
      <c r="G71" s="8">
        <f>IF(D71="","",IF(D71&gt;=0.8,"On Track",IF(D71&gt;=0.5,"Behind","At Risk")))</f>
        <v/>
      </c>
    </row>
    <row r="73">
      <c r="A73" s="39" t="inlineStr">
        <is>
          <t>Elijah Aldaco</t>
        </is>
      </c>
    </row>
    <row r="74">
      <c r="A74" s="40" t="inlineStr">
        <is>
          <t>Service</t>
        </is>
      </c>
      <c r="B74" s="40" t="inlineStr">
        <is>
          <t>IEP Required</t>
        </is>
      </c>
      <c r="C74" s="40" t="inlineStr">
        <is>
          <t>Minutes Delivered</t>
        </is>
      </c>
      <c r="D74" s="40" t="inlineStr">
        <is>
          <t>% Complete</t>
        </is>
      </c>
      <c r="E74" s="40" t="inlineStr">
        <is>
          <t>Sessions Attended</t>
        </is>
      </c>
      <c r="F74" s="40" t="inlineStr">
        <is>
          <t>Absences</t>
        </is>
      </c>
      <c r="G74" s="40" t="inlineStr">
        <is>
          <t>Status</t>
        </is>
      </c>
    </row>
    <row r="75">
      <c r="A75" s="41" t="inlineStr">
        <is>
          <t>Social Skills</t>
        </is>
      </c>
      <c r="B75" s="19">
        <f>'Year Summary'!K14</f>
        <v/>
      </c>
      <c r="C75" s="19">
        <f>'Year Summary'!F14</f>
        <v/>
      </c>
      <c r="D75" s="21">
        <f>'Year Summary'!L14</f>
        <v/>
      </c>
      <c r="E75" s="19">
        <f>'Year Summary'!M14</f>
        <v/>
      </c>
      <c r="F75" s="19">
        <f>'Year Summary'!N14</f>
        <v/>
      </c>
      <c r="G75" s="8">
        <f>IF(D75="","",IF(D75&gt;=0.8,"On Track",IF(D75&gt;=0.5,"Behind","At Risk")))</f>
        <v/>
      </c>
    </row>
    <row r="76">
      <c r="A76" s="41" t="inlineStr">
        <is>
          <t>Speech</t>
        </is>
      </c>
      <c r="B76" s="19">
        <f>'Year Summary'!K32</f>
        <v/>
      </c>
      <c r="C76" s="19">
        <f>'Year Summary'!F32</f>
        <v/>
      </c>
      <c r="D76" s="21">
        <f>'Year Summary'!L32</f>
        <v/>
      </c>
      <c r="E76" s="19">
        <f>'Year Summary'!M32</f>
        <v/>
      </c>
      <c r="F76" s="19">
        <f>'Year Summary'!N32</f>
        <v/>
      </c>
      <c r="G76" s="8">
        <f>IF(D76="","",IF(D76&gt;=0.8,"On Track",IF(D76&gt;=0.5,"Behind","At Risk")))</f>
        <v/>
      </c>
    </row>
    <row r="77">
      <c r="A77" s="41" t="inlineStr">
        <is>
          <t>OT</t>
        </is>
      </c>
      <c r="B77" s="19">
        <f>'Year Summary'!K50</f>
        <v/>
      </c>
      <c r="C77" s="19">
        <f>'Year Summary'!F50</f>
        <v/>
      </c>
      <c r="D77" s="21">
        <f>'Year Summary'!L50</f>
        <v/>
      </c>
      <c r="E77" s="19">
        <f>'Year Summary'!M50</f>
        <v/>
      </c>
      <c r="F77" s="19">
        <f>'Year Summary'!N50</f>
        <v/>
      </c>
      <c r="G77" s="8">
        <f>IF(D77="","",IF(D77&gt;=0.8,"On Track",IF(D77&gt;=0.5,"Behind","At Risk")))</f>
        <v/>
      </c>
    </row>
    <row r="78">
      <c r="A78" s="41" t="inlineStr">
        <is>
          <t>Counseling</t>
        </is>
      </c>
      <c r="B78" s="19">
        <f>'Year Summary'!K68</f>
        <v/>
      </c>
      <c r="C78" s="19">
        <f>'Year Summary'!F68</f>
        <v/>
      </c>
      <c r="D78" s="21">
        <f>'Year Summary'!L68</f>
        <v/>
      </c>
      <c r="E78" s="19">
        <f>'Year Summary'!M68</f>
        <v/>
      </c>
      <c r="F78" s="19">
        <f>'Year Summary'!N68</f>
        <v/>
      </c>
      <c r="G78" s="8">
        <f>IF(D78="","",IF(D78&gt;=0.8,"On Track",IF(D78&gt;=0.5,"Behind","At Risk")))</f>
        <v/>
      </c>
    </row>
    <row r="79">
      <c r="A79" s="41" t="inlineStr">
        <is>
          <t>Inclusion Support</t>
        </is>
      </c>
      <c r="B79" s="19">
        <f>'Year Summary'!K86</f>
        <v/>
      </c>
      <c r="C79" s="19">
        <f>'Year Summary'!F86</f>
        <v/>
      </c>
      <c r="D79" s="21">
        <f>'Year Summary'!L86</f>
        <v/>
      </c>
      <c r="E79" s="19">
        <f>'Year Summary'!M86</f>
        <v/>
      </c>
      <c r="F79" s="19">
        <f>'Year Summary'!N86</f>
        <v/>
      </c>
      <c r="G79" s="8">
        <f>IF(D79="","",IF(D79&gt;=0.8,"On Track",IF(D79&gt;=0.5,"Behind","At Risk")))</f>
        <v/>
      </c>
    </row>
    <row r="81">
      <c r="A81" s="39" t="inlineStr">
        <is>
          <t>Cain Gutierrez</t>
        </is>
      </c>
    </row>
    <row r="82">
      <c r="A82" s="40" t="inlineStr">
        <is>
          <t>Service</t>
        </is>
      </c>
      <c r="B82" s="40" t="inlineStr">
        <is>
          <t>IEP Required</t>
        </is>
      </c>
      <c r="C82" s="40" t="inlineStr">
        <is>
          <t>Minutes Delivered</t>
        </is>
      </c>
      <c r="D82" s="40" t="inlineStr">
        <is>
          <t>% Complete</t>
        </is>
      </c>
      <c r="E82" s="40" t="inlineStr">
        <is>
          <t>Sessions Attended</t>
        </is>
      </c>
      <c r="F82" s="40" t="inlineStr">
        <is>
          <t>Absences</t>
        </is>
      </c>
      <c r="G82" s="40" t="inlineStr">
        <is>
          <t>Status</t>
        </is>
      </c>
    </row>
    <row r="83">
      <c r="A83" s="41" t="inlineStr">
        <is>
          <t>Social Skills</t>
        </is>
      </c>
      <c r="B83" s="19">
        <f>'Year Summary'!K15</f>
        <v/>
      </c>
      <c r="C83" s="19">
        <f>'Year Summary'!F15</f>
        <v/>
      </c>
      <c r="D83" s="21">
        <f>'Year Summary'!L15</f>
        <v/>
      </c>
      <c r="E83" s="19">
        <f>'Year Summary'!M15</f>
        <v/>
      </c>
      <c r="F83" s="19">
        <f>'Year Summary'!N15</f>
        <v/>
      </c>
      <c r="G83" s="8">
        <f>IF(D83="","",IF(D83&gt;=0.8,"On Track",IF(D83&gt;=0.5,"Behind","At Risk")))</f>
        <v/>
      </c>
    </row>
    <row r="84">
      <c r="A84" s="41" t="inlineStr">
        <is>
          <t>Speech</t>
        </is>
      </c>
      <c r="B84" s="19">
        <f>'Year Summary'!K33</f>
        <v/>
      </c>
      <c r="C84" s="19">
        <f>'Year Summary'!F33</f>
        <v/>
      </c>
      <c r="D84" s="21">
        <f>'Year Summary'!L33</f>
        <v/>
      </c>
      <c r="E84" s="19">
        <f>'Year Summary'!M33</f>
        <v/>
      </c>
      <c r="F84" s="19">
        <f>'Year Summary'!N33</f>
        <v/>
      </c>
      <c r="G84" s="8">
        <f>IF(D84="","",IF(D84&gt;=0.8,"On Track",IF(D84&gt;=0.5,"Behind","At Risk")))</f>
        <v/>
      </c>
    </row>
    <row r="85">
      <c r="A85" s="41" t="inlineStr">
        <is>
          <t>OT</t>
        </is>
      </c>
      <c r="B85" s="19">
        <f>'Year Summary'!K51</f>
        <v/>
      </c>
      <c r="C85" s="19">
        <f>'Year Summary'!F51</f>
        <v/>
      </c>
      <c r="D85" s="21">
        <f>'Year Summary'!L51</f>
        <v/>
      </c>
      <c r="E85" s="19">
        <f>'Year Summary'!M51</f>
        <v/>
      </c>
      <c r="F85" s="19">
        <f>'Year Summary'!N51</f>
        <v/>
      </c>
      <c r="G85" s="8">
        <f>IF(D85="","",IF(D85&gt;=0.8,"On Track",IF(D85&gt;=0.5,"Behind","At Risk")))</f>
        <v/>
      </c>
    </row>
    <row r="86">
      <c r="A86" s="41" t="inlineStr">
        <is>
          <t>Counseling</t>
        </is>
      </c>
      <c r="B86" s="19">
        <f>'Year Summary'!K69</f>
        <v/>
      </c>
      <c r="C86" s="19">
        <f>'Year Summary'!F69</f>
        <v/>
      </c>
      <c r="D86" s="21">
        <f>'Year Summary'!L69</f>
        <v/>
      </c>
      <c r="E86" s="19">
        <f>'Year Summary'!M69</f>
        <v/>
      </c>
      <c r="F86" s="19">
        <f>'Year Summary'!N69</f>
        <v/>
      </c>
      <c r="G86" s="8">
        <f>IF(D86="","",IF(D86&gt;=0.8,"On Track",IF(D86&gt;=0.5,"Behind","At Risk")))</f>
        <v/>
      </c>
    </row>
    <row r="87">
      <c r="A87" s="41" t="inlineStr">
        <is>
          <t>Inclusion Support</t>
        </is>
      </c>
      <c r="B87" s="19">
        <f>'Year Summary'!K87</f>
        <v/>
      </c>
      <c r="C87" s="19">
        <f>'Year Summary'!F87</f>
        <v/>
      </c>
      <c r="D87" s="21">
        <f>'Year Summary'!L87</f>
        <v/>
      </c>
      <c r="E87" s="19">
        <f>'Year Summary'!M87</f>
        <v/>
      </c>
      <c r="F87" s="19">
        <f>'Year Summary'!N87</f>
        <v/>
      </c>
      <c r="G87" s="8">
        <f>IF(D87="","",IF(D87&gt;=0.8,"On Track",IF(D87&gt;=0.5,"Behind","At Risk")))</f>
        <v/>
      </c>
    </row>
    <row r="89">
      <c r="A89" s="39" t="inlineStr">
        <is>
          <t>Grayson Barnhart</t>
        </is>
      </c>
    </row>
    <row r="90">
      <c r="A90" s="40" t="inlineStr">
        <is>
          <t>Service</t>
        </is>
      </c>
      <c r="B90" s="40" t="inlineStr">
        <is>
          <t>IEP Required</t>
        </is>
      </c>
      <c r="C90" s="40" t="inlineStr">
        <is>
          <t>Minutes Delivered</t>
        </is>
      </c>
      <c r="D90" s="40" t="inlineStr">
        <is>
          <t>% Complete</t>
        </is>
      </c>
      <c r="E90" s="40" t="inlineStr">
        <is>
          <t>Sessions Attended</t>
        </is>
      </c>
      <c r="F90" s="40" t="inlineStr">
        <is>
          <t>Absences</t>
        </is>
      </c>
      <c r="G90" s="40" t="inlineStr">
        <is>
          <t>Status</t>
        </is>
      </c>
    </row>
    <row r="91">
      <c r="A91" s="41" t="inlineStr">
        <is>
          <t>Social Skills</t>
        </is>
      </c>
      <c r="B91" s="19">
        <f>'Year Summary'!K16</f>
        <v/>
      </c>
      <c r="C91" s="19">
        <f>'Year Summary'!F16</f>
        <v/>
      </c>
      <c r="D91" s="21">
        <f>'Year Summary'!L16</f>
        <v/>
      </c>
      <c r="E91" s="19">
        <f>'Year Summary'!M16</f>
        <v/>
      </c>
      <c r="F91" s="19">
        <f>'Year Summary'!N16</f>
        <v/>
      </c>
      <c r="G91" s="8">
        <f>IF(D91="","",IF(D91&gt;=0.8,"On Track",IF(D91&gt;=0.5,"Behind","At Risk")))</f>
        <v/>
      </c>
    </row>
    <row r="92">
      <c r="A92" s="41" t="inlineStr">
        <is>
          <t>Speech</t>
        </is>
      </c>
      <c r="B92" s="19">
        <f>'Year Summary'!K34</f>
        <v/>
      </c>
      <c r="C92" s="19">
        <f>'Year Summary'!F34</f>
        <v/>
      </c>
      <c r="D92" s="21">
        <f>'Year Summary'!L34</f>
        <v/>
      </c>
      <c r="E92" s="19">
        <f>'Year Summary'!M34</f>
        <v/>
      </c>
      <c r="F92" s="19">
        <f>'Year Summary'!N34</f>
        <v/>
      </c>
      <c r="G92" s="8">
        <f>IF(D92="","",IF(D92&gt;=0.8,"On Track",IF(D92&gt;=0.5,"Behind","At Risk")))</f>
        <v/>
      </c>
    </row>
    <row r="93">
      <c r="A93" s="41" t="inlineStr">
        <is>
          <t>OT</t>
        </is>
      </c>
      <c r="B93" s="19">
        <f>'Year Summary'!K52</f>
        <v/>
      </c>
      <c r="C93" s="19">
        <f>'Year Summary'!F52</f>
        <v/>
      </c>
      <c r="D93" s="21">
        <f>'Year Summary'!L52</f>
        <v/>
      </c>
      <c r="E93" s="19">
        <f>'Year Summary'!M52</f>
        <v/>
      </c>
      <c r="F93" s="19">
        <f>'Year Summary'!N52</f>
        <v/>
      </c>
      <c r="G93" s="8">
        <f>IF(D93="","",IF(D93&gt;=0.8,"On Track",IF(D93&gt;=0.5,"Behind","At Risk")))</f>
        <v/>
      </c>
    </row>
    <row r="94">
      <c r="A94" s="41" t="inlineStr">
        <is>
          <t>Counseling</t>
        </is>
      </c>
      <c r="B94" s="19">
        <f>'Year Summary'!K70</f>
        <v/>
      </c>
      <c r="C94" s="19">
        <f>'Year Summary'!F70</f>
        <v/>
      </c>
      <c r="D94" s="21">
        <f>'Year Summary'!L70</f>
        <v/>
      </c>
      <c r="E94" s="19">
        <f>'Year Summary'!M70</f>
        <v/>
      </c>
      <c r="F94" s="19">
        <f>'Year Summary'!N70</f>
        <v/>
      </c>
      <c r="G94" s="8">
        <f>IF(D94="","",IF(D94&gt;=0.8,"On Track",IF(D94&gt;=0.5,"Behind","At Risk")))</f>
        <v/>
      </c>
    </row>
    <row r="95">
      <c r="A95" s="41" t="inlineStr">
        <is>
          <t>Inclusion Support</t>
        </is>
      </c>
      <c r="B95" s="19">
        <f>'Year Summary'!K88</f>
        <v/>
      </c>
      <c r="C95" s="19">
        <f>'Year Summary'!F88</f>
        <v/>
      </c>
      <c r="D95" s="21">
        <f>'Year Summary'!L88</f>
        <v/>
      </c>
      <c r="E95" s="19">
        <f>'Year Summary'!M88</f>
        <v/>
      </c>
      <c r="F95" s="19">
        <f>'Year Summary'!N88</f>
        <v/>
      </c>
      <c r="G95" s="8">
        <f>IF(D95="","",IF(D95&gt;=0.8,"On Track",IF(D95&gt;=0.5,"Behind","At Risk")))</f>
        <v/>
      </c>
    </row>
    <row r="97">
      <c r="A97" s="39" t="inlineStr">
        <is>
          <t>Abel Abraham</t>
        </is>
      </c>
    </row>
    <row r="98">
      <c r="A98" s="40" t="inlineStr">
        <is>
          <t>Service</t>
        </is>
      </c>
      <c r="B98" s="40" t="inlineStr">
        <is>
          <t>IEP Required</t>
        </is>
      </c>
      <c r="C98" s="40" t="inlineStr">
        <is>
          <t>Minutes Delivered</t>
        </is>
      </c>
      <c r="D98" s="40" t="inlineStr">
        <is>
          <t>% Complete</t>
        </is>
      </c>
      <c r="E98" s="40" t="inlineStr">
        <is>
          <t>Sessions Attended</t>
        </is>
      </c>
      <c r="F98" s="40" t="inlineStr">
        <is>
          <t>Absences</t>
        </is>
      </c>
      <c r="G98" s="40" t="inlineStr">
        <is>
          <t>Status</t>
        </is>
      </c>
    </row>
    <row r="99">
      <c r="A99" s="41" t="inlineStr">
        <is>
          <t>Social Skills</t>
        </is>
      </c>
      <c r="B99" s="19">
        <f>'Year Summary'!K17</f>
        <v/>
      </c>
      <c r="C99" s="19">
        <f>'Year Summary'!F17</f>
        <v/>
      </c>
      <c r="D99" s="21">
        <f>'Year Summary'!L17</f>
        <v/>
      </c>
      <c r="E99" s="19">
        <f>'Year Summary'!M17</f>
        <v/>
      </c>
      <c r="F99" s="19">
        <f>'Year Summary'!N17</f>
        <v/>
      </c>
      <c r="G99" s="8">
        <f>IF(D99="","",IF(D99&gt;=0.8,"On Track",IF(D99&gt;=0.5,"Behind","At Risk")))</f>
        <v/>
      </c>
    </row>
    <row r="100">
      <c r="A100" s="41" t="inlineStr">
        <is>
          <t>Speech</t>
        </is>
      </c>
      <c r="B100" s="19">
        <f>'Year Summary'!K35</f>
        <v/>
      </c>
      <c r="C100" s="19">
        <f>'Year Summary'!F35</f>
        <v/>
      </c>
      <c r="D100" s="21">
        <f>'Year Summary'!L35</f>
        <v/>
      </c>
      <c r="E100" s="19">
        <f>'Year Summary'!M35</f>
        <v/>
      </c>
      <c r="F100" s="19">
        <f>'Year Summary'!N35</f>
        <v/>
      </c>
      <c r="G100" s="8">
        <f>IF(D100="","",IF(D100&gt;=0.8,"On Track",IF(D100&gt;=0.5,"Behind","At Risk")))</f>
        <v/>
      </c>
    </row>
    <row r="101">
      <c r="A101" s="41" t="inlineStr">
        <is>
          <t>OT</t>
        </is>
      </c>
      <c r="B101" s="19">
        <f>'Year Summary'!K53</f>
        <v/>
      </c>
      <c r="C101" s="19">
        <f>'Year Summary'!F53</f>
        <v/>
      </c>
      <c r="D101" s="21">
        <f>'Year Summary'!L53</f>
        <v/>
      </c>
      <c r="E101" s="19">
        <f>'Year Summary'!M53</f>
        <v/>
      </c>
      <c r="F101" s="19">
        <f>'Year Summary'!N53</f>
        <v/>
      </c>
      <c r="G101" s="8">
        <f>IF(D101="","",IF(D101&gt;=0.8,"On Track",IF(D101&gt;=0.5,"Behind","At Risk")))</f>
        <v/>
      </c>
    </row>
    <row r="102">
      <c r="A102" s="41" t="inlineStr">
        <is>
          <t>Counseling</t>
        </is>
      </c>
      <c r="B102" s="19">
        <f>'Year Summary'!K71</f>
        <v/>
      </c>
      <c r="C102" s="19">
        <f>'Year Summary'!F71</f>
        <v/>
      </c>
      <c r="D102" s="21">
        <f>'Year Summary'!L71</f>
        <v/>
      </c>
      <c r="E102" s="19">
        <f>'Year Summary'!M71</f>
        <v/>
      </c>
      <c r="F102" s="19">
        <f>'Year Summary'!N71</f>
        <v/>
      </c>
      <c r="G102" s="8">
        <f>IF(D102="","",IF(D102&gt;=0.8,"On Track",IF(D102&gt;=0.5,"Behind","At Risk")))</f>
        <v/>
      </c>
    </row>
    <row r="103">
      <c r="A103" s="41" t="inlineStr">
        <is>
          <t>Inclusion Support</t>
        </is>
      </c>
      <c r="B103" s="19">
        <f>'Year Summary'!K89</f>
        <v/>
      </c>
      <c r="C103" s="19">
        <f>'Year Summary'!F89</f>
        <v/>
      </c>
      <c r="D103" s="21">
        <f>'Year Summary'!L89</f>
        <v/>
      </c>
      <c r="E103" s="19">
        <f>'Year Summary'!M89</f>
        <v/>
      </c>
      <c r="F103" s="19">
        <f>'Year Summary'!N89</f>
        <v/>
      </c>
      <c r="G103" s="8">
        <f>IF(D103="","",IF(D103&gt;=0.8,"On Track",IF(D103&gt;=0.5,"Behind","At Risk")))</f>
        <v/>
      </c>
    </row>
    <row r="105">
      <c r="A105" s="39" t="inlineStr">
        <is>
          <t>John Joby</t>
        </is>
      </c>
    </row>
    <row r="106">
      <c r="A106" s="40" t="inlineStr">
        <is>
          <t>Service</t>
        </is>
      </c>
      <c r="B106" s="40" t="inlineStr">
        <is>
          <t>IEP Required</t>
        </is>
      </c>
      <c r="C106" s="40" t="inlineStr">
        <is>
          <t>Minutes Delivered</t>
        </is>
      </c>
      <c r="D106" s="40" t="inlineStr">
        <is>
          <t>% Complete</t>
        </is>
      </c>
      <c r="E106" s="40" t="inlineStr">
        <is>
          <t>Sessions Attended</t>
        </is>
      </c>
      <c r="F106" s="40" t="inlineStr">
        <is>
          <t>Absences</t>
        </is>
      </c>
      <c r="G106" s="40" t="inlineStr">
        <is>
          <t>Status</t>
        </is>
      </c>
    </row>
    <row r="107">
      <c r="A107" s="41" t="inlineStr">
        <is>
          <t>Social Skills</t>
        </is>
      </c>
      <c r="B107" s="19">
        <f>'Year Summary'!K18</f>
        <v/>
      </c>
      <c r="C107" s="19">
        <f>'Year Summary'!F18</f>
        <v/>
      </c>
      <c r="D107" s="21">
        <f>'Year Summary'!L18</f>
        <v/>
      </c>
      <c r="E107" s="19">
        <f>'Year Summary'!M18</f>
        <v/>
      </c>
      <c r="F107" s="19">
        <f>'Year Summary'!N18</f>
        <v/>
      </c>
      <c r="G107" s="8">
        <f>IF(D107="","",IF(D107&gt;=0.8,"On Track",IF(D107&gt;=0.5,"Behind","At Risk")))</f>
        <v/>
      </c>
    </row>
    <row r="108">
      <c r="A108" s="41" t="inlineStr">
        <is>
          <t>Speech</t>
        </is>
      </c>
      <c r="B108" s="19">
        <f>'Year Summary'!K36</f>
        <v/>
      </c>
      <c r="C108" s="19">
        <f>'Year Summary'!F36</f>
        <v/>
      </c>
      <c r="D108" s="21">
        <f>'Year Summary'!L36</f>
        <v/>
      </c>
      <c r="E108" s="19">
        <f>'Year Summary'!M36</f>
        <v/>
      </c>
      <c r="F108" s="19">
        <f>'Year Summary'!N36</f>
        <v/>
      </c>
      <c r="G108" s="8">
        <f>IF(D108="","",IF(D108&gt;=0.8,"On Track",IF(D108&gt;=0.5,"Behind","At Risk")))</f>
        <v/>
      </c>
    </row>
    <row r="109">
      <c r="A109" s="41" t="inlineStr">
        <is>
          <t>OT</t>
        </is>
      </c>
      <c r="B109" s="19">
        <f>'Year Summary'!K54</f>
        <v/>
      </c>
      <c r="C109" s="19">
        <f>'Year Summary'!F54</f>
        <v/>
      </c>
      <c r="D109" s="21">
        <f>'Year Summary'!L54</f>
        <v/>
      </c>
      <c r="E109" s="19">
        <f>'Year Summary'!M54</f>
        <v/>
      </c>
      <c r="F109" s="19">
        <f>'Year Summary'!N54</f>
        <v/>
      </c>
      <c r="G109" s="8">
        <f>IF(D109="","",IF(D109&gt;=0.8,"On Track",IF(D109&gt;=0.5,"Behind","At Risk")))</f>
        <v/>
      </c>
    </row>
    <row r="110">
      <c r="A110" s="41" t="inlineStr">
        <is>
          <t>Counseling</t>
        </is>
      </c>
      <c r="B110" s="19">
        <f>'Year Summary'!K72</f>
        <v/>
      </c>
      <c r="C110" s="19">
        <f>'Year Summary'!F72</f>
        <v/>
      </c>
      <c r="D110" s="21">
        <f>'Year Summary'!L72</f>
        <v/>
      </c>
      <c r="E110" s="19">
        <f>'Year Summary'!M72</f>
        <v/>
      </c>
      <c r="F110" s="19">
        <f>'Year Summary'!N72</f>
        <v/>
      </c>
      <c r="G110" s="8">
        <f>IF(D110="","",IF(D110&gt;=0.8,"On Track",IF(D110&gt;=0.5,"Behind","At Risk")))</f>
        <v/>
      </c>
    </row>
    <row r="111">
      <c r="A111" s="41" t="inlineStr">
        <is>
          <t>Inclusion Support</t>
        </is>
      </c>
      <c r="B111" s="19">
        <f>'Year Summary'!K90</f>
        <v/>
      </c>
      <c r="C111" s="19">
        <f>'Year Summary'!F90</f>
        <v/>
      </c>
      <c r="D111" s="21">
        <f>'Year Summary'!L90</f>
        <v/>
      </c>
      <c r="E111" s="19">
        <f>'Year Summary'!M90</f>
        <v/>
      </c>
      <c r="F111" s="19">
        <f>'Year Summary'!N90</f>
        <v/>
      </c>
      <c r="G111" s="8">
        <f>IF(D111="","",IF(D111&gt;=0.8,"On Track",IF(D111&gt;=0.5,"Behind","At Risk")))</f>
        <v/>
      </c>
    </row>
    <row r="113">
      <c r="A113" s="39" t="inlineStr">
        <is>
          <t>Jason Bean</t>
        </is>
      </c>
    </row>
    <row r="114">
      <c r="A114" s="40" t="inlineStr">
        <is>
          <t>Service</t>
        </is>
      </c>
      <c r="B114" s="40" t="inlineStr">
        <is>
          <t>IEP Required</t>
        </is>
      </c>
      <c r="C114" s="40" t="inlineStr">
        <is>
          <t>Minutes Delivered</t>
        </is>
      </c>
      <c r="D114" s="40" t="inlineStr">
        <is>
          <t>% Complete</t>
        </is>
      </c>
      <c r="E114" s="40" t="inlineStr">
        <is>
          <t>Sessions Attended</t>
        </is>
      </c>
      <c r="F114" s="40" t="inlineStr">
        <is>
          <t>Absences</t>
        </is>
      </c>
      <c r="G114" s="40" t="inlineStr">
        <is>
          <t>Status</t>
        </is>
      </c>
    </row>
    <row r="115">
      <c r="A115" s="41" t="inlineStr">
        <is>
          <t>Social Skills</t>
        </is>
      </c>
      <c r="B115" s="19">
        <f>'Year Summary'!K19</f>
        <v/>
      </c>
      <c r="C115" s="19">
        <f>'Year Summary'!F19</f>
        <v/>
      </c>
      <c r="D115" s="21">
        <f>'Year Summary'!L19</f>
        <v/>
      </c>
      <c r="E115" s="19">
        <f>'Year Summary'!M19</f>
        <v/>
      </c>
      <c r="F115" s="19">
        <f>'Year Summary'!N19</f>
        <v/>
      </c>
      <c r="G115" s="8">
        <f>IF(D115="","",IF(D115&gt;=0.8,"On Track",IF(D115&gt;=0.5,"Behind","At Risk")))</f>
        <v/>
      </c>
    </row>
    <row r="116">
      <c r="A116" s="41" t="inlineStr">
        <is>
          <t>Speech</t>
        </is>
      </c>
      <c r="B116" s="19">
        <f>'Year Summary'!K37</f>
        <v/>
      </c>
      <c r="C116" s="19">
        <f>'Year Summary'!F37</f>
        <v/>
      </c>
      <c r="D116" s="21">
        <f>'Year Summary'!L37</f>
        <v/>
      </c>
      <c r="E116" s="19">
        <f>'Year Summary'!M37</f>
        <v/>
      </c>
      <c r="F116" s="19">
        <f>'Year Summary'!N37</f>
        <v/>
      </c>
      <c r="G116" s="8">
        <f>IF(D116="","",IF(D116&gt;=0.8,"On Track",IF(D116&gt;=0.5,"Behind","At Risk")))</f>
        <v/>
      </c>
    </row>
    <row r="117">
      <c r="A117" s="41" t="inlineStr">
        <is>
          <t>OT</t>
        </is>
      </c>
      <c r="B117" s="19">
        <f>'Year Summary'!K55</f>
        <v/>
      </c>
      <c r="C117" s="19">
        <f>'Year Summary'!F55</f>
        <v/>
      </c>
      <c r="D117" s="21">
        <f>'Year Summary'!L55</f>
        <v/>
      </c>
      <c r="E117" s="19">
        <f>'Year Summary'!M55</f>
        <v/>
      </c>
      <c r="F117" s="19">
        <f>'Year Summary'!N55</f>
        <v/>
      </c>
      <c r="G117" s="8">
        <f>IF(D117="","",IF(D117&gt;=0.8,"On Track",IF(D117&gt;=0.5,"Behind","At Risk")))</f>
        <v/>
      </c>
    </row>
    <row r="118">
      <c r="A118" s="41" t="inlineStr">
        <is>
          <t>Counseling</t>
        </is>
      </c>
      <c r="B118" s="19">
        <f>'Year Summary'!K73</f>
        <v/>
      </c>
      <c r="C118" s="19">
        <f>'Year Summary'!F73</f>
        <v/>
      </c>
      <c r="D118" s="21">
        <f>'Year Summary'!L73</f>
        <v/>
      </c>
      <c r="E118" s="19">
        <f>'Year Summary'!M73</f>
        <v/>
      </c>
      <c r="F118" s="19">
        <f>'Year Summary'!N73</f>
        <v/>
      </c>
      <c r="G118" s="8">
        <f>IF(D118="","",IF(D118&gt;=0.8,"On Track",IF(D118&gt;=0.5,"Behind","At Risk")))</f>
        <v/>
      </c>
    </row>
    <row r="119">
      <c r="A119" s="41" t="inlineStr">
        <is>
          <t>Inclusion Support</t>
        </is>
      </c>
      <c r="B119" s="19">
        <f>'Year Summary'!K91</f>
        <v/>
      </c>
      <c r="C119" s="19">
        <f>'Year Summary'!F91</f>
        <v/>
      </c>
      <c r="D119" s="21">
        <f>'Year Summary'!L91</f>
        <v/>
      </c>
      <c r="E119" s="19">
        <f>'Year Summary'!M91</f>
        <v/>
      </c>
      <c r="F119" s="19">
        <f>'Year Summary'!N91</f>
        <v/>
      </c>
      <c r="G119" s="8">
        <f>IF(D119="","",IF(D119&gt;=0.8,"On Track",IF(D119&gt;=0.5,"Behind","At Risk")))</f>
        <v/>
      </c>
    </row>
  </sheetData>
  <mergeCells count="15">
    <mergeCell ref="A89:G89"/>
    <mergeCell ref="A1:G1"/>
    <mergeCell ref="A17:G17"/>
    <mergeCell ref="A9:G9"/>
    <mergeCell ref="A81:G81"/>
    <mergeCell ref="A97:G97"/>
    <mergeCell ref="A65:G65"/>
    <mergeCell ref="A105:G105"/>
    <mergeCell ref="A73:G73"/>
    <mergeCell ref="A113:G113"/>
    <mergeCell ref="A25:G25"/>
    <mergeCell ref="A57:G57"/>
    <mergeCell ref="A41:G41"/>
    <mergeCell ref="A33:G33"/>
    <mergeCell ref="A49:G49"/>
  </mergeCells>
  <conditionalFormatting sqref="D3:D7">
    <cfRule type="cellIs" priority="1" operator="greaterThanOrEqual" dxfId="0">
      <formula>0.8</formula>
    </cfRule>
    <cfRule type="cellIs" priority="2" operator="between" dxfId="1">
      <formula>0.5</formula>
      <formula>0.7999</formula>
    </cfRule>
    <cfRule type="cellIs" priority="3" operator="lessThan" dxfId="2">
      <formula>0.5</formula>
    </cfRule>
  </conditionalFormatting>
  <conditionalFormatting sqref="G3:G7">
    <cfRule type="expression" priority="4" dxfId="0">
      <formula>G3="On Track"</formula>
    </cfRule>
    <cfRule type="expression" priority="5" dxfId="1">
      <formula>G3="Behind"</formula>
    </cfRule>
    <cfRule type="expression" priority="6" dxfId="2">
      <formula>G3="At Risk"</formula>
    </cfRule>
  </conditionalFormatting>
  <conditionalFormatting sqref="D11:D15">
    <cfRule type="cellIs" priority="7" operator="greaterThanOrEqual" dxfId="0">
      <formula>0.8</formula>
    </cfRule>
    <cfRule type="cellIs" priority="8" operator="between" dxfId="1">
      <formula>0.5</formula>
      <formula>0.7999</formula>
    </cfRule>
    <cfRule type="cellIs" priority="9" operator="lessThan" dxfId="2">
      <formula>0.5</formula>
    </cfRule>
  </conditionalFormatting>
  <conditionalFormatting sqref="G11:G15">
    <cfRule type="expression" priority="10" dxfId="0">
      <formula>G11="On Track"</formula>
    </cfRule>
    <cfRule type="expression" priority="11" dxfId="1">
      <formula>G11="Behind"</formula>
    </cfRule>
    <cfRule type="expression" priority="12" dxfId="2">
      <formula>G11="At Risk"</formula>
    </cfRule>
  </conditionalFormatting>
  <conditionalFormatting sqref="D19:D23">
    <cfRule type="cellIs" priority="13" operator="greaterThanOrEqual" dxfId="0">
      <formula>0.8</formula>
    </cfRule>
    <cfRule type="cellIs" priority="14" operator="between" dxfId="1">
      <formula>0.5</formula>
      <formula>0.7999</formula>
    </cfRule>
    <cfRule type="cellIs" priority="15" operator="lessThan" dxfId="2">
      <formula>0.5</formula>
    </cfRule>
  </conditionalFormatting>
  <conditionalFormatting sqref="G19:G23">
    <cfRule type="expression" priority="16" dxfId="0">
      <formula>G19="On Track"</formula>
    </cfRule>
    <cfRule type="expression" priority="17" dxfId="1">
      <formula>G19="Behind"</formula>
    </cfRule>
    <cfRule type="expression" priority="18" dxfId="2">
      <formula>G19="At Risk"</formula>
    </cfRule>
  </conditionalFormatting>
  <conditionalFormatting sqref="D27:D31">
    <cfRule type="cellIs" priority="19" operator="greaterThanOrEqual" dxfId="0">
      <formula>0.8</formula>
    </cfRule>
    <cfRule type="cellIs" priority="20" operator="between" dxfId="1">
      <formula>0.5</formula>
      <formula>0.7999</formula>
    </cfRule>
    <cfRule type="cellIs" priority="21" operator="lessThan" dxfId="2">
      <formula>0.5</formula>
    </cfRule>
  </conditionalFormatting>
  <conditionalFormatting sqref="G27:G31">
    <cfRule type="expression" priority="22" dxfId="0">
      <formula>G27="On Track"</formula>
    </cfRule>
    <cfRule type="expression" priority="23" dxfId="1">
      <formula>G27="Behind"</formula>
    </cfRule>
    <cfRule type="expression" priority="24" dxfId="2">
      <formula>G27="At Risk"</formula>
    </cfRule>
  </conditionalFormatting>
  <conditionalFormatting sqref="D35:D39">
    <cfRule type="cellIs" priority="25" operator="greaterThanOrEqual" dxfId="0">
      <formula>0.8</formula>
    </cfRule>
    <cfRule type="cellIs" priority="26" operator="between" dxfId="1">
      <formula>0.5</formula>
      <formula>0.7999</formula>
    </cfRule>
    <cfRule type="cellIs" priority="27" operator="lessThan" dxfId="2">
      <formula>0.5</formula>
    </cfRule>
  </conditionalFormatting>
  <conditionalFormatting sqref="G35:G39">
    <cfRule type="expression" priority="28" dxfId="0">
      <formula>G35="On Track"</formula>
    </cfRule>
    <cfRule type="expression" priority="29" dxfId="1">
      <formula>G35="Behind"</formula>
    </cfRule>
    <cfRule type="expression" priority="30" dxfId="2">
      <formula>G35="At Risk"</formula>
    </cfRule>
  </conditionalFormatting>
  <conditionalFormatting sqref="D43:D47">
    <cfRule type="cellIs" priority="31" operator="greaterThanOrEqual" dxfId="0">
      <formula>0.8</formula>
    </cfRule>
    <cfRule type="cellIs" priority="32" operator="between" dxfId="1">
      <formula>0.5</formula>
      <formula>0.7999</formula>
    </cfRule>
    <cfRule type="cellIs" priority="33" operator="lessThan" dxfId="2">
      <formula>0.5</formula>
    </cfRule>
  </conditionalFormatting>
  <conditionalFormatting sqref="G43:G47">
    <cfRule type="expression" priority="34" dxfId="0">
      <formula>G43="On Track"</formula>
    </cfRule>
    <cfRule type="expression" priority="35" dxfId="1">
      <formula>G43="Behind"</formula>
    </cfRule>
    <cfRule type="expression" priority="36" dxfId="2">
      <formula>G43="At Risk"</formula>
    </cfRule>
  </conditionalFormatting>
  <conditionalFormatting sqref="D51:D55">
    <cfRule type="cellIs" priority="37" operator="greaterThanOrEqual" dxfId="0">
      <formula>0.8</formula>
    </cfRule>
    <cfRule type="cellIs" priority="38" operator="between" dxfId="1">
      <formula>0.5</formula>
      <formula>0.7999</formula>
    </cfRule>
    <cfRule type="cellIs" priority="39" operator="lessThan" dxfId="2">
      <formula>0.5</formula>
    </cfRule>
  </conditionalFormatting>
  <conditionalFormatting sqref="G51:G55">
    <cfRule type="expression" priority="40" dxfId="0">
      <formula>G51="On Track"</formula>
    </cfRule>
    <cfRule type="expression" priority="41" dxfId="1">
      <formula>G51="Behind"</formula>
    </cfRule>
    <cfRule type="expression" priority="42" dxfId="2">
      <formula>G51="At Risk"</formula>
    </cfRule>
  </conditionalFormatting>
  <conditionalFormatting sqref="D59:D63">
    <cfRule type="cellIs" priority="43" operator="greaterThanOrEqual" dxfId="0">
      <formula>0.8</formula>
    </cfRule>
    <cfRule type="cellIs" priority="44" operator="between" dxfId="1">
      <formula>0.5</formula>
      <formula>0.7999</formula>
    </cfRule>
    <cfRule type="cellIs" priority="45" operator="lessThan" dxfId="2">
      <formula>0.5</formula>
    </cfRule>
  </conditionalFormatting>
  <conditionalFormatting sqref="G59:G63">
    <cfRule type="expression" priority="46" dxfId="0">
      <formula>G59="On Track"</formula>
    </cfRule>
    <cfRule type="expression" priority="47" dxfId="1">
      <formula>G59="Behind"</formula>
    </cfRule>
    <cfRule type="expression" priority="48" dxfId="2">
      <formula>G59="At Risk"</formula>
    </cfRule>
  </conditionalFormatting>
  <conditionalFormatting sqref="D67:D71">
    <cfRule type="cellIs" priority="49" operator="greaterThanOrEqual" dxfId="0">
      <formula>0.8</formula>
    </cfRule>
    <cfRule type="cellIs" priority="50" operator="between" dxfId="1">
      <formula>0.5</formula>
      <formula>0.7999</formula>
    </cfRule>
    <cfRule type="cellIs" priority="51" operator="lessThan" dxfId="2">
      <formula>0.5</formula>
    </cfRule>
  </conditionalFormatting>
  <conditionalFormatting sqref="G67:G71">
    <cfRule type="expression" priority="52" dxfId="0">
      <formula>G67="On Track"</formula>
    </cfRule>
    <cfRule type="expression" priority="53" dxfId="1">
      <formula>G67="Behind"</formula>
    </cfRule>
    <cfRule type="expression" priority="54" dxfId="2">
      <formula>G67="At Risk"</formula>
    </cfRule>
  </conditionalFormatting>
  <conditionalFormatting sqref="D75:D79">
    <cfRule type="cellIs" priority="55" operator="greaterThanOrEqual" dxfId="0">
      <formula>0.8</formula>
    </cfRule>
    <cfRule type="cellIs" priority="56" operator="between" dxfId="1">
      <formula>0.5</formula>
      <formula>0.7999</formula>
    </cfRule>
    <cfRule type="cellIs" priority="57" operator="lessThan" dxfId="2">
      <formula>0.5</formula>
    </cfRule>
  </conditionalFormatting>
  <conditionalFormatting sqref="G75:G79">
    <cfRule type="expression" priority="58" dxfId="0">
      <formula>G75="On Track"</formula>
    </cfRule>
    <cfRule type="expression" priority="59" dxfId="1">
      <formula>G75="Behind"</formula>
    </cfRule>
    <cfRule type="expression" priority="60" dxfId="2">
      <formula>G75="At Risk"</formula>
    </cfRule>
  </conditionalFormatting>
  <conditionalFormatting sqref="D83:D87">
    <cfRule type="cellIs" priority="61" operator="greaterThanOrEqual" dxfId="0">
      <formula>0.8</formula>
    </cfRule>
    <cfRule type="cellIs" priority="62" operator="between" dxfId="1">
      <formula>0.5</formula>
      <formula>0.7999</formula>
    </cfRule>
    <cfRule type="cellIs" priority="63" operator="lessThan" dxfId="2">
      <formula>0.5</formula>
    </cfRule>
  </conditionalFormatting>
  <conditionalFormatting sqref="G83:G87">
    <cfRule type="expression" priority="64" dxfId="0">
      <formula>G83="On Track"</formula>
    </cfRule>
    <cfRule type="expression" priority="65" dxfId="1">
      <formula>G83="Behind"</formula>
    </cfRule>
    <cfRule type="expression" priority="66" dxfId="2">
      <formula>G83="At Risk"</formula>
    </cfRule>
  </conditionalFormatting>
  <conditionalFormatting sqref="D91:D95">
    <cfRule type="cellIs" priority="67" operator="greaterThanOrEqual" dxfId="0">
      <formula>0.8</formula>
    </cfRule>
    <cfRule type="cellIs" priority="68" operator="between" dxfId="1">
      <formula>0.5</formula>
      <formula>0.7999</formula>
    </cfRule>
    <cfRule type="cellIs" priority="69" operator="lessThan" dxfId="2">
      <formula>0.5</formula>
    </cfRule>
  </conditionalFormatting>
  <conditionalFormatting sqref="G91:G95">
    <cfRule type="expression" priority="70" dxfId="0">
      <formula>G91="On Track"</formula>
    </cfRule>
    <cfRule type="expression" priority="71" dxfId="1">
      <formula>G91="Behind"</formula>
    </cfRule>
    <cfRule type="expression" priority="72" dxfId="2">
      <formula>G91="At Risk"</formula>
    </cfRule>
  </conditionalFormatting>
  <conditionalFormatting sqref="D99:D103">
    <cfRule type="cellIs" priority="73" operator="greaterThanOrEqual" dxfId="0">
      <formula>0.8</formula>
    </cfRule>
    <cfRule type="cellIs" priority="74" operator="between" dxfId="1">
      <formula>0.5</formula>
      <formula>0.7999</formula>
    </cfRule>
    <cfRule type="cellIs" priority="75" operator="lessThan" dxfId="2">
      <formula>0.5</formula>
    </cfRule>
  </conditionalFormatting>
  <conditionalFormatting sqref="G99:G103">
    <cfRule type="expression" priority="76" dxfId="0">
      <formula>G99="On Track"</formula>
    </cfRule>
    <cfRule type="expression" priority="77" dxfId="1">
      <formula>G99="Behind"</formula>
    </cfRule>
    <cfRule type="expression" priority="78" dxfId="2">
      <formula>G99="At Risk"</formula>
    </cfRule>
  </conditionalFormatting>
  <conditionalFormatting sqref="D107:D111">
    <cfRule type="cellIs" priority="79" operator="greaterThanOrEqual" dxfId="0">
      <formula>0.8</formula>
    </cfRule>
    <cfRule type="cellIs" priority="80" operator="between" dxfId="1">
      <formula>0.5</formula>
      <formula>0.7999</formula>
    </cfRule>
    <cfRule type="cellIs" priority="81" operator="lessThan" dxfId="2">
      <formula>0.5</formula>
    </cfRule>
  </conditionalFormatting>
  <conditionalFormatting sqref="G107:G111">
    <cfRule type="expression" priority="82" dxfId="0">
      <formula>G107="On Track"</formula>
    </cfRule>
    <cfRule type="expression" priority="83" dxfId="1">
      <formula>G107="Behind"</formula>
    </cfRule>
    <cfRule type="expression" priority="84" dxfId="2">
      <formula>G107="At Risk"</formula>
    </cfRule>
  </conditionalFormatting>
  <conditionalFormatting sqref="D115:D119">
    <cfRule type="cellIs" priority="85" operator="greaterThanOrEqual" dxfId="0">
      <formula>0.8</formula>
    </cfRule>
    <cfRule type="cellIs" priority="86" operator="between" dxfId="1">
      <formula>0.5</formula>
      <formula>0.7999</formula>
    </cfRule>
    <cfRule type="cellIs" priority="87" operator="lessThan" dxfId="2">
      <formula>0.5</formula>
    </cfRule>
  </conditionalFormatting>
  <conditionalFormatting sqref="G115:G119">
    <cfRule type="expression" priority="88" dxfId="0">
      <formula>G115="On Track"</formula>
    </cfRule>
    <cfRule type="expression" priority="89" dxfId="1">
      <formula>G115="Behind"</formula>
    </cfRule>
    <cfRule type="expression" priority="90" dxfId="2">
      <formula>G115="At Risk"</formula>
    </cfRule>
  </conditionalFormatting>
  <pageMargins left="0.75" right="0.75" top="1" bottom="1" header="0.5" footer="0.5"/>
  <pageSetup orientation="landscape" fitToHeight="0" fitToWidth="1"/>
  <rowBreaks count="14" manualBreakCount="14">
    <brk id="8" min="0" max="16383" man="1"/>
    <brk id="16" min="0" max="16383" man="1"/>
    <brk id="24" min="0" max="16383" man="1"/>
    <brk id="32" min="0" max="16383" man="1"/>
    <brk id="40" min="0" max="16383" man="1"/>
    <brk id="48" min="0" max="16383" man="1"/>
    <brk id="56" min="0" max="16383" man="1"/>
    <brk id="64" min="0" max="16383" man="1"/>
    <brk id="72" min="0" max="16383" man="1"/>
    <brk id="80" min="0" max="16383" man="1"/>
    <brk id="88" min="0" max="16383" man="1"/>
    <brk id="96" min="0" max="16383" man="1"/>
    <brk id="104" min="0" max="16383" man="1"/>
    <brk id="11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2026-02-26T16:06:50Z</dcterms:created>
  <dcterms:modified xmlns:dcterms="http://purl.org/dc/terms/" xmlns:xsi="http://www.w3.org/2001/XMLSchema-instance" xsi:type="dcterms:W3CDTF">2026-02-26T16:06:50Z</dcterms:modified>
</cp:coreProperties>
</file>